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metadata.xml" ContentType="application/vnd.openxmlformats-officedocument.spreadsheetml.sheetMetadata+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D:\Data\dika baru\pp\pp\"/>
    </mc:Choice>
  </mc:AlternateContent>
  <bookViews>
    <workbookView windowWidth="15540" windowHeight="7500"/>
  </bookViews>
  <sheets>
    <sheet name="Format bakh" sheetId="1" r:id="rId1"/>
    <sheet name="RAB TA" sheetId="2" r:id="rId2"/>
    <sheet name="RAB MANDOR" sheetId="3" r:id="rId3"/>
    <sheet name="RAB NEGO "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<sst xmlns="http://schemas.openxmlformats.org/spreadsheetml/2006/main" count="5864" uniqueCount="1563">
  <si>
    <t>NO</t>
  </si>
  <si>
    <t>DESIGNATOR</t>
  </si>
  <si>
    <t>URAIAN PEKERJAAN</t>
  </si>
  <si>
    <t>SAT</t>
  </si>
  <si>
    <t>Negosiasi</t>
  </si>
  <si>
    <t>Kesepakatan</t>
  </si>
  <si>
    <t>Volume</t>
  </si>
  <si>
    <t>Telkom Akses</t>
  </si>
  <si>
    <t>Mandor</t>
  </si>
  <si>
    <t>Material</t>
  </si>
  <si>
    <t>Jasa</t>
  </si>
  <si>
    <t>MATERIAL</t>
  </si>
  <si>
    <t>JASA</t>
  </si>
  <si>
    <t>MATERIAL + JASA</t>
  </si>
  <si>
    <t>TELKOM AKSES</t>
  </si>
  <si>
    <t>Designator</t>
  </si>
  <si>
    <t>Designator Material</t>
  </si>
  <si>
    <t>Designator Jasa</t>
  </si>
  <si>
    <t>Uraian Pekerjaan</t>
  </si>
  <si>
    <t>Satuan</t>
  </si>
  <si>
    <t>Paket 4</t>
  </si>
  <si>
    <t>AB-OF-SM-12D</t>
  </si>
  <si>
    <t>M-AB-OF-SM-12D</t>
  </si>
  <si>
    <t>J-AB-OF-SM-12D</t>
  </si>
  <si>
    <t>Pengadaan dan pemasangan air blown cable optik, single mode 12 core, g 652 d</t>
  </si>
  <si>
    <t>meter</t>
  </si>
  <si>
    <t>AB-OF-SM-144D</t>
  </si>
  <si>
    <t>M-AB-OF-SM-144D</t>
  </si>
  <si>
    <t>J-AB-OF-SM-144D</t>
  </si>
  <si>
    <t>Pengadaan dan pemasangan air blown cable optik, single mode 144 core, g 652 d</t>
  </si>
  <si>
    <t>AB-OF-SM-24D</t>
  </si>
  <si>
    <t>M-AB-OF-SM-24D</t>
  </si>
  <si>
    <t>J-AB-OF-SM-24D</t>
  </si>
  <si>
    <t>Pengadaan dan pemasangan air blown cable optik, single mode 24 core, g 652 d</t>
  </si>
  <si>
    <t>AB-OF-SM-288D</t>
  </si>
  <si>
    <t>M-AB-OF-SM-288D</t>
  </si>
  <si>
    <t>J-AB-OF-SM-288D</t>
  </si>
  <si>
    <t>Pengadaan dan pemasangan air blown cable optik, single mode 288 core, g 652 d</t>
  </si>
  <si>
    <t>AB-OF-SM-2D</t>
  </si>
  <si>
    <t>M-AB-OF-SM-2D</t>
  </si>
  <si>
    <t>J-AB-OF-SM-2D</t>
  </si>
  <si>
    <t>Pengadaan dan pemasangan air blown cable optik, single mode 2 core, g 652 d</t>
  </si>
  <si>
    <t>AB-OF-SM-48D</t>
  </si>
  <si>
    <t>M-AB-OF-SM-48D</t>
  </si>
  <si>
    <t>J-AB-OF-SM-48D</t>
  </si>
  <si>
    <t>Pengadaan dan pemasangan air blown cable optik, single mode 48 core, g 652 d</t>
  </si>
  <si>
    <t>AB-OF-SM-4D</t>
  </si>
  <si>
    <t>M-AB-OF-SM-4D</t>
  </si>
  <si>
    <t>J-AB-OF-SM-4D</t>
  </si>
  <si>
    <t>Pengadaan dan pemasangan air blown cable optik, single mode 4 core, g 652 d</t>
  </si>
  <si>
    <t>AB-OF-SM-72D</t>
  </si>
  <si>
    <t>M-AB-OF-SM-72D</t>
  </si>
  <si>
    <t>J-AB-OF-SM-72D</t>
  </si>
  <si>
    <t>Pengadaan dan pemasangan air blown cable optik, single mode 72 core, g 652 d</t>
  </si>
  <si>
    <t>AB-OF-SM-8D</t>
  </si>
  <si>
    <t>M-AB-OF-SM-8D</t>
  </si>
  <si>
    <t>J-AB-OF-SM-8D</t>
  </si>
  <si>
    <t>Pengadaan dan pemasangan air blown cable optik, single mode core, g 652 d</t>
  </si>
  <si>
    <t>AB-OF-SM-96D</t>
  </si>
  <si>
    <t>M-AB-OF-SM-96D</t>
  </si>
  <si>
    <t>J-AB-OF-SM-96D</t>
  </si>
  <si>
    <t>Pengadaan dan pemasangan air blown cable optik, single mode 96 core, g 652 d</t>
  </si>
  <si>
    <t>AC-OF-SM-1-3SL</t>
  </si>
  <si>
    <t>M-AC-OF-SM-1-3SL</t>
  </si>
  <si>
    <t>J-AC-OF-SM-1-3SL</t>
  </si>
  <si>
    <t>Pengadaan Dan Pemasangan Drop Cable FO 1 Core Single Mode G.657 dengan Penguat 3 Seling</t>
  </si>
  <si>
    <t>AC-OF-SM-12-SC</t>
  </si>
  <si>
    <t>M-AC-OF-SM-12-SC</t>
  </si>
  <si>
    <t>J-AC-OF-SM-12-SC</t>
  </si>
  <si>
    <t>Pengadaan dan pemasangan kabel udara fiber optik single mode 12 core g 652 d, "easy to split"</t>
  </si>
  <si>
    <t>AC-OF-SM-12C</t>
  </si>
  <si>
    <t>M-AC-OF-SM-12C</t>
  </si>
  <si>
    <t>J-AC-OF-SM-12C</t>
  </si>
  <si>
    <t>Pengadaan dan pemasangan kabel udara fiber optik single mode 12 core g 655 c</t>
  </si>
  <si>
    <t>AC-OF-SM-12D</t>
  </si>
  <si>
    <t>M-AC-OF-SM-12D</t>
  </si>
  <si>
    <t>J-AC-OF-SM-12D</t>
  </si>
  <si>
    <t>Pengadaan dan pemasangan kabel udara fiber optik single mode 12 core g 652 d</t>
  </si>
  <si>
    <t>AC-OF-SM-24-SC</t>
  </si>
  <si>
    <t>M-AC-OF-SM-24-SC</t>
  </si>
  <si>
    <t>J-AC-OF-SM-24-SC</t>
  </si>
  <si>
    <t>Pengadaan dan pemasangan kabel udara fiber optik single mode 24 core g 652 d, "easy to split"</t>
  </si>
  <si>
    <t>AC-OF-SM-24C</t>
  </si>
  <si>
    <t>M-AC-OF-SM-24C</t>
  </si>
  <si>
    <t>J-AC-OF-SM-24C</t>
  </si>
  <si>
    <t>Pengadaan dan pemasangan kabel udara fiber optik single mode 24 core g 655 c</t>
  </si>
  <si>
    <t>AC-OF-SM-24D</t>
  </si>
  <si>
    <t>M-AC-OF-SM-24D</t>
  </si>
  <si>
    <t>J-AC-OF-SM-24D</t>
  </si>
  <si>
    <t>Pengadaan dan pemasangan kabel udara fiber optik single mode 24 core g 652 d</t>
  </si>
  <si>
    <t>AC-OF-SM-48C</t>
  </si>
  <si>
    <t>M-AC-OF-SM-48C</t>
  </si>
  <si>
    <t>J-AC-OF-SM-48C</t>
  </si>
  <si>
    <t>Pengadaan dan pemasangan kabel udara fiber optik single mode 48 core g 655 c</t>
  </si>
  <si>
    <t>AC-OF-SM-48D</t>
  </si>
  <si>
    <t>M-AC-OF-SM-48D</t>
  </si>
  <si>
    <t>J-AC-OF-SM-48D</t>
  </si>
  <si>
    <t>Pengadaan dan pemasangan kabel udara fiber optik single mode 48 core g 652 d</t>
  </si>
  <si>
    <t>AC-OF-SM-96C</t>
  </si>
  <si>
    <t>M-AC-OF-SM-96C</t>
  </si>
  <si>
    <t>J-AC-OF-SM-96C</t>
  </si>
  <si>
    <t>Pengadaan dan pemasangan kabel udara fiber optik single mode 96 core g 655 c</t>
  </si>
  <si>
    <t>AC-OF-SM-96D</t>
  </si>
  <si>
    <t>M-AC-OF-SM-96D</t>
  </si>
  <si>
    <t>J-AC-OF-SM-96D</t>
  </si>
  <si>
    <t>Pengadaan dan pemasangan kabel udara fiber optik single mode 96 core g 652 d</t>
  </si>
  <si>
    <t>AC-OF-SM-ADSS-12D</t>
  </si>
  <si>
    <t>M-AC-OF-SM-ADSS-12D</t>
  </si>
  <si>
    <t>J-AC-OF-SM-ADSS-12D</t>
  </si>
  <si>
    <t>Pengadaan dan Pemasangan Kabel Udara Fiber Optik All Dielectric Self Supporting Cable (ADSS) Single Mode 12 Core G.652.D</t>
  </si>
  <si>
    <t>AC-OF-SM-ADSS-24D</t>
  </si>
  <si>
    <t>M-AC-OF-SM-ADSS-24D</t>
  </si>
  <si>
    <t>J-AC-OF-SM-ADSS-24D</t>
  </si>
  <si>
    <t>Pengadaan dan Pemasangan Kabel Udara Fiber Optik All Dielectric Self Supporting Cable (ADSS) Single Mode 24 Core G.652.D</t>
  </si>
  <si>
    <t>AC-OF-SM-ADSS-48D</t>
  </si>
  <si>
    <t>M-AC-OF-SM-ADSS-48D</t>
  </si>
  <si>
    <t>J-AC-OF-SM-ADSS-48D</t>
  </si>
  <si>
    <t>Pengadaan dan Pemasangan Kabel Udara Fiber Optik All Dielectric Self Supporting Cable (ADSS) Single Mode 48 Core G.652.D</t>
  </si>
  <si>
    <t>AC-OF-SM-ADSS-96D</t>
  </si>
  <si>
    <t>M-AC-OF-SM-ADSS-96D</t>
  </si>
  <si>
    <t>J-AC-OF-SM-ADSS-96D</t>
  </si>
  <si>
    <t>Pengadaan dan Pemasangan Kabel Udara Fiber Optik All Dielectric Self Supporting Cable (ADSS) Single Mode 96 Core G.652.D</t>
  </si>
  <si>
    <t>ACPDB-Box-in</t>
  </si>
  <si>
    <t>M-ACPDB-Box-in</t>
  </si>
  <si>
    <t>J-ACPDB-Box-in</t>
  </si>
  <si>
    <t>Box panel indoor (40x30x20)</t>
  </si>
  <si>
    <t>pcs</t>
  </si>
  <si>
    <t>ACPDB-Box-out</t>
  </si>
  <si>
    <t>M-ACPDB-Box-out</t>
  </si>
  <si>
    <t>J-ACPDB-Box-out</t>
  </si>
  <si>
    <t>Box panel outdoor (40x60x20)</t>
  </si>
  <si>
    <t>ADAPT-SPRING</t>
  </si>
  <si>
    <t>M-ADAPT-SPRING</t>
  </si>
  <si>
    <t>J-ADAPT-SPRING</t>
  </si>
  <si>
    <t>ADAPTER SPRING</t>
  </si>
  <si>
    <t>Bh</t>
  </si>
  <si>
    <t>ANCHORING</t>
  </si>
  <si>
    <t>M-ANCHORING</t>
  </si>
  <si>
    <t>J-ANCHORING</t>
  </si>
  <si>
    <t>PENGADAAN DAN PEMASANGAN AKSESORIS TIANG BESI ANCHORING</t>
  </si>
  <si>
    <t>Base Tray ODC</t>
  </si>
  <si>
    <t>M-Base Tray ODC</t>
  </si>
  <si>
    <t>J-Base Tray ODC</t>
  </si>
  <si>
    <t>Pengadaan dan pemasangan otb termasuk terminasi dan penyambungan kabel optik single mode kap 12 core serta adapter (sc connector), pigtail dan protection sleeve pada cassette/box</t>
  </si>
  <si>
    <t>BC-MTR-0.4</t>
  </si>
  <si>
    <t>J-BC-MTR-0.4</t>
  </si>
  <si>
    <t>Pekerjaan galian pada permukaan jalan aspal dengan lebar galian 8 cm dan kedalaman 40 cm, termasuk pemetaan utility eksisting dengan metode geo penetrating radar, perbaikan, pengurugan (backfilling) menggunakan concrete type k225 dan pengaspalan</t>
  </si>
  <si>
    <t>BC-MTR-GALV.2-3.6</t>
  </si>
  <si>
    <t>M-BC-MTR-GALV.2-3.6</t>
  </si>
  <si>
    <t>J-BC-MTR-GALV.2-3.6</t>
  </si>
  <si>
    <t>PENGADAAN ALUR KABEL MENGGUNAKAN PIPA GALVANIS DIAMETER 2 INCHI, DI DALAM GALIAN BETON / KERAMIK DENGAN KEDALAMAN 10CM, LEBAR 5CM DARI AREA DISPENSER MENUJU OFFICE TERMASUK PERBAIKAN KEMBALI JALUR GALIAN</t>
  </si>
  <si>
    <t>Mtr</t>
  </si>
  <si>
    <t>BC-TR-0.4</t>
  </si>
  <si>
    <t>J-BC-TR-0.4</t>
  </si>
  <si>
    <t>Pekerjaan galian, pengurugan kembali dan perbaikan kembali, pengisian pasir, warning tape dan tanda rute kabel serta tempat sambung kedalaman 0.4 meter</t>
  </si>
  <si>
    <t>BC-TR-0.6</t>
  </si>
  <si>
    <t>J-BC-TR-0.6</t>
  </si>
  <si>
    <t>Pekerjaan galian, pengurugan kembali dan perbaikan kembali, pengisian pasir, warning tape dan tanda rute kabel serta tempat sambung, kedalaman 0,6 meter</t>
  </si>
  <si>
    <t>BC-TR-1</t>
  </si>
  <si>
    <t>J-BC-TR-1</t>
  </si>
  <si>
    <t>Pekerjaan galian, pengurugan kembali dan perbaikan kembali, pengisian pasir, warning tape dan tanda rute kabel serta tempat sambung, kedalaman 1 meter</t>
  </si>
  <si>
    <t>BC-TR-2</t>
  </si>
  <si>
    <t>J-BC-TR-2</t>
  </si>
  <si>
    <t>Pekerjaan galian, pengurugan kembali dan perbaikan kembali, pengisian pasir, warning tape dan tanda rute kabel serta tempat sambung, kedalaman 1,2 meter</t>
  </si>
  <si>
    <t>BC-TR-3</t>
  </si>
  <si>
    <t>J-BC-TR-3</t>
  </si>
  <si>
    <t>Pekerjaan galian, pengurugan kembali dan perbaikan kembali, pengisian pasir, warning tape dan tanda rute kabel serta tempat sambung, kedalaman 1,3 meter</t>
  </si>
  <si>
    <t>BC-TR-4</t>
  </si>
  <si>
    <t>J-BC-TR-4</t>
  </si>
  <si>
    <t>Pekerjaan galian, pengurugan kembali dan perbaikan kembali, pengisian pasir, warning tape dan tanda rute kabel serta tempat sambung, kedalaman 1,4 meter</t>
  </si>
  <si>
    <t>BC-TR-5</t>
  </si>
  <si>
    <t>J-BC-TR-5</t>
  </si>
  <si>
    <t>Pekerjaan galian, pengurugan kembali dan perbaikan kembali, pengisian pasir, warning tape dan tanda rute kabel serta tempat sambung kedalaman 1,5 meter</t>
  </si>
  <si>
    <t>BC-TR-A-0.4</t>
  </si>
  <si>
    <t>J-BC-TR-A-0.4</t>
  </si>
  <si>
    <t>Pekerjaan galian pada permukaan jalan aspal yang bebas dari utilitas publik dengan lebar galian 8 cm dan kedalaman 40 cm, termasuk perbaikan, pengurugan (backfilling) menggunakan concrete type K225 dan pengaspalan</t>
  </si>
  <si>
    <t>BC-TR-S-0.8</t>
  </si>
  <si>
    <t>M-BC-TR-S-0.8</t>
  </si>
  <si>
    <t>J-BC-TR-S-0.8</t>
  </si>
  <si>
    <t>Penggalian dengan kondisi tanah Padas/Cadas termasuk pengurugan dan perbaikan kembali bekas galian dengan permukaan cor beton 1:2:3 (lebar30cm, ketebalan 40cm) dengan kedalaman minimal 80 cm</t>
  </si>
  <si>
    <t>BC-TR-S-1</t>
  </si>
  <si>
    <t>J-BC-TR-S-1</t>
  </si>
  <si>
    <t>Penggalian dengan kondisi tanah Padas/Cadas termasuk pengurugan dan perbaikan kembali bekas galian dengan kedalaman minimal 100 cm</t>
  </si>
  <si>
    <t>BC-TR-S-2</t>
  </si>
  <si>
    <t>J-BC-TR-S-2</t>
  </si>
  <si>
    <t>Penggalian dengan kondisi tanah Padas/Cadas termasuk pengurugan dan perbaikan kembali bekas galian dengan kedalaman minimal 120 cm</t>
  </si>
  <si>
    <t>BC-TR-S-3</t>
  </si>
  <si>
    <t>J-BC-TR-S-3</t>
  </si>
  <si>
    <t>Penggalian dengan kondisi tanah Padas/Cadas termasuk pengurugan dan perbaikan kembali bekas galian dengan kedalaman minimal 130 cm</t>
  </si>
  <si>
    <t>BC-TR-S-4</t>
  </si>
  <si>
    <t>J-BC-TR-S-4</t>
  </si>
  <si>
    <t>Penggalian dengan kondisi tanah Padas/Cadas termasuk pengurugan dan perbaikan kembali bekas galian dengan kedalaman minimal 140 cm</t>
  </si>
  <si>
    <t>BC-TR-S-5</t>
  </si>
  <si>
    <t>J-BC-TR-S-5</t>
  </si>
  <si>
    <t>Penggalian dengan kondisi tanah Padas/Cadas termasuk pengurugan dan perbaikan kembali bekas galian dengan kedalaman minimal 150 cm</t>
  </si>
  <si>
    <t>BCTR-ROCK</t>
  </si>
  <si>
    <t>J-BCTR-ROCK</t>
  </si>
  <si>
    <t>Pengadaan galian batu masif kedalaman 1,5 meter, panjang minimum 5 m, termasuk pengadaan marking post</t>
  </si>
  <si>
    <t>BD-SK</t>
  </si>
  <si>
    <t>M-BD-SK</t>
  </si>
  <si>
    <t>J-BD-SK</t>
  </si>
  <si>
    <t>Pekerjaan bobokan dan perbaikan Dinding Chamber / BTS / STO untuk lubang Sparing Kabel</t>
  </si>
  <si>
    <t>Titik</t>
  </si>
  <si>
    <t>BKR-DC</t>
  </si>
  <si>
    <t>J-BKR-DC</t>
  </si>
  <si>
    <t>PEMBONGKARAN DROP CORE</t>
  </si>
  <si>
    <t>BKR-KU-FO-48-96</t>
  </si>
  <si>
    <t>J-BKR-KU-FO-48-96</t>
  </si>
  <si>
    <t>PEMBONGKARAN KABEL UDARA FIBER OPTIK KAPASITAS 48-96 CORE</t>
  </si>
  <si>
    <t>BKR-KU-FO-6-24</t>
  </si>
  <si>
    <t>J-BKR-KU-FO-6-24</t>
  </si>
  <si>
    <t>PEMBONGKARAN KABEL UDARA FIBER OPTIK KAPASITAS 6-24 CORE</t>
  </si>
  <si>
    <t>BKR-RK</t>
  </si>
  <si>
    <t>J-BKR-RK</t>
  </si>
  <si>
    <t>PEMBONGKARAN RUMAH KABEL BERIKUT PATOK PENGAMAN</t>
  </si>
  <si>
    <t>Unit</t>
  </si>
  <si>
    <t>BR-HDPE</t>
  </si>
  <si>
    <t>M-BR-HDPE</t>
  </si>
  <si>
    <t>J-BR-HDPE</t>
  </si>
  <si>
    <t>Pengadaan dan Pemasangan sistem bracket penopang HDPE dengan bahan plat besi galvanized (elektro) tebal 2 mm ukuran 40x17x4,2 cm (PxTxL) dengan 2 dynabolt stainless steel M10x70mm dan 9 cable ties ukuran 14,5 inch.</t>
  </si>
  <si>
    <t>set</t>
  </si>
  <si>
    <t>BR-L-150-200mm</t>
  </si>
  <si>
    <t>M-BR-L-150-200mm</t>
  </si>
  <si>
    <t>J-BR-L-150-200mm</t>
  </si>
  <si>
    <t>Pengadaan dan pemasangan bracket L atau siku panjang 155mm – 200mm</t>
  </si>
  <si>
    <t>Pcs</t>
  </si>
  <si>
    <t>BUCKLE</t>
  </si>
  <si>
    <t>M-BUCKLE</t>
  </si>
  <si>
    <t>J-BUCKLE</t>
  </si>
  <si>
    <t>PENGADAAN DAN PEMASANGAN AKSESORIS TIANG BESI BUCKLE</t>
  </si>
  <si>
    <t>CASSETTE-FO</t>
  </si>
  <si>
    <t>M-CASSETTE-FO</t>
  </si>
  <si>
    <t>J-CASSETTE-FO</t>
  </si>
  <si>
    <t>PENGADAAN DAN PEMASANGAN CASSETTE FO BASED TRAY FOR ODC 144/288 CORE PER 12 FIBER TERMASUK ADAPTOR TANPA PIGTAIL</t>
  </si>
  <si>
    <t>CLAMP HOOK/BRACKET PELANGGAN SPIRAL</t>
  </si>
  <si>
    <t>M-CLAMP HOOK/BRACKET PELANGGAN SPIRAL</t>
  </si>
  <si>
    <t>J-CLAMP HOOK/BRACKET PELANGGAN SPIRAL</t>
  </si>
  <si>
    <t>PENGADAAN DAN PEMASANGAN AKSESORIS TIANG BESI CLAMP HOK/BRACKET PELANGGAN SPIRAL</t>
  </si>
  <si>
    <t>Close Rack 12U</t>
  </si>
  <si>
    <t>M-Close Rack 12U</t>
  </si>
  <si>
    <t>J-Close Rack 12U</t>
  </si>
  <si>
    <t>19" Wallmounted Rack 12U Depth 450mm</t>
  </si>
  <si>
    <t>CO-OF</t>
  </si>
  <si>
    <t>J-CO-OF</t>
  </si>
  <si>
    <t>Pekerjaan Cut Over Kabel Serat Optik</t>
  </si>
  <si>
    <t>core</t>
  </si>
  <si>
    <t>Coring</t>
  </si>
  <si>
    <t>J-Coring</t>
  </si>
  <si>
    <t>Pekerjaan bobokan tembok/coring Cor Beton di ruang Shaft</t>
  </si>
  <si>
    <t>titik</t>
  </si>
  <si>
    <t>DC-OF-SJ-655C</t>
  </si>
  <si>
    <t>M-DC-OF-SJ-655C</t>
  </si>
  <si>
    <t>J-DC-OF-SJ-655C</t>
  </si>
  <si>
    <t>PENGADAAN DAN PEMASANGAN KABEL DUCT FIBER OPTIK SINGLE MODE 144 CORE G 655 C</t>
  </si>
  <si>
    <t>DC-OF-SM-12-SC</t>
  </si>
  <si>
    <t>M-DC-OF-SM-12-SC</t>
  </si>
  <si>
    <t>J-DC-OF-SM-12-SC</t>
  </si>
  <si>
    <t>Pengadaan dan pemasangan kabel duct fiber optik single mode 12 core g 652 d, "easy to split"</t>
  </si>
  <si>
    <t>DC-OF-SM-12C</t>
  </si>
  <si>
    <t>M-DC-OF-SM-12C</t>
  </si>
  <si>
    <t>J-DC-OF-SM-12C</t>
  </si>
  <si>
    <t>Pengadaan dan pemasangan kabel duct fiber optik single mode 12 core g 655 c</t>
  </si>
  <si>
    <t>DC-OF-SM-12D</t>
  </si>
  <si>
    <t>M-DC-OF-SM-12D</t>
  </si>
  <si>
    <t>J-DC-OF-SM-12D</t>
  </si>
  <si>
    <t>Pengadaan dan pemasangan kabel duct fiber optik single mode 12 core g 652 d</t>
  </si>
  <si>
    <t>DC-OF-SM-144D</t>
  </si>
  <si>
    <t>M-DC-OF-SM-144D</t>
  </si>
  <si>
    <t>J-DC-OF-SM-144D</t>
  </si>
  <si>
    <t>Pengadaan dan pemasangan kabel duct fiber optik single mode 144 core g 652 d</t>
  </si>
  <si>
    <t>DC-OF-SM-24-SC</t>
  </si>
  <si>
    <t>M-DC-OF-SM-24-SC</t>
  </si>
  <si>
    <t>J-DC-OF-SM-24-SC</t>
  </si>
  <si>
    <t>Pengadaan dan pemasangan kabel duct fiber optik single mode 24 core g 652 d, "easy to split"</t>
  </si>
  <si>
    <t>DC-OF-SM-24C</t>
  </si>
  <si>
    <t>M-DC-OF-SM-24C</t>
  </si>
  <si>
    <t>J-DC-OF-SM-24C</t>
  </si>
  <si>
    <t>Pengadaan dan pemasangan kabel duct fiber optik single mode 24 core g 655 c</t>
  </si>
  <si>
    <t>DC-OF-SM-24D</t>
  </si>
  <si>
    <t>M-DC-OF-SM-24D</t>
  </si>
  <si>
    <t>J-DC-OF-SM-24D</t>
  </si>
  <si>
    <t>Pengadaan dan pemasangan kabel duct fiber optik single mode 24 core g 652 d</t>
  </si>
  <si>
    <t>DC-OF-SM-288D</t>
  </si>
  <si>
    <t>M-DC-OF-SM-288D</t>
  </si>
  <si>
    <t>J-DC-OF-SM-288D</t>
  </si>
  <si>
    <t>Pengadaan dan pemasangan kabel duct fiber optik single mode 288 core g 652 d</t>
  </si>
  <si>
    <t>DC-OF-SM-2A</t>
  </si>
  <si>
    <t>M-DC-OF-SM-2A</t>
  </si>
  <si>
    <t>J-DC-OF-SM-2A</t>
  </si>
  <si>
    <t>Pengadaan dan pemasangan Kabel Serat Optic Penanggal Single Mode 2 core dgn pelindung pipa G 657 A (indoor)</t>
  </si>
  <si>
    <t>DC-OF-SM-48C</t>
  </si>
  <si>
    <t>M-DC-OF-SM-48C</t>
  </si>
  <si>
    <t>J-DC-OF-SM-48C</t>
  </si>
  <si>
    <t>Pengadaan dan pemasangan kabel duct fiber optik single mode 48 core g 655 c</t>
  </si>
  <si>
    <t>DC-OF-SM-48D</t>
  </si>
  <si>
    <t>M-DC-OF-SM-48D</t>
  </si>
  <si>
    <t>J-DC-OF-SM-48D</t>
  </si>
  <si>
    <t>Pengadaan dan pemasangan kabel duct fiber optik single mode 48 core g 652 d</t>
  </si>
  <si>
    <t>DC-OF-SM-96C</t>
  </si>
  <si>
    <t>M-DC-OF-SM-96C</t>
  </si>
  <si>
    <t>J-DC-OF-SM-96C</t>
  </si>
  <si>
    <t>Pengadaan dan pemasangan kabel duct fiber optik single mode 96 core g 655 c</t>
  </si>
  <si>
    <t>DC-OF-SM-96D</t>
  </si>
  <si>
    <t>M-DC-OF-SM-96D</t>
  </si>
  <si>
    <t>J-DC-OF-SM-96D</t>
  </si>
  <si>
    <t>Pengadaan dan pemasangan kabel duct fiber optik single mode 96 core g 652 d</t>
  </si>
  <si>
    <t>DC-PROTEC</t>
  </si>
  <si>
    <t>M-DC-PROTEC</t>
  </si>
  <si>
    <t>J-DC-PROTEC</t>
  </si>
  <si>
    <t>PASANG PELINDUNG LAYANG-LAYANG</t>
  </si>
  <si>
    <t>Rute</t>
  </si>
  <si>
    <t>DC-SBG</t>
  </si>
  <si>
    <t>J-DC-SBG</t>
  </si>
  <si>
    <t>PENYAMBUNGAN DROP CABLE FO SINGLE MODE KAP 1 CORE DENGAN CARA FUSION SPLICE TERMASUK HEAT-STRINK</t>
  </si>
  <si>
    <t>Core</t>
  </si>
  <si>
    <t>DC-SD-28-1</t>
  </si>
  <si>
    <t>M-DC-SD-28-1</t>
  </si>
  <si>
    <t>J-DC-SD-28-1</t>
  </si>
  <si>
    <t>Pengadaan dan pemasangan 1 subduct 28/32 mm pada polongan route duct</t>
  </si>
  <si>
    <t>DC-SD-28-3</t>
  </si>
  <si>
    <t>M-DC-SD-28-3</t>
  </si>
  <si>
    <t>J-DC-SD-28-3</t>
  </si>
  <si>
    <t>Pengadaan dan pemasangan 1 subduct 28/32 mm pada polongan route duct, 3 pipa</t>
  </si>
  <si>
    <t>DC-SD-33-1</t>
  </si>
  <si>
    <t>M-DC-SD-33-1</t>
  </si>
  <si>
    <t>J-DC-SD-33-1</t>
  </si>
  <si>
    <t>Pengadaan dan pemasangan 1 subduct 40/33 pada polongan route duct</t>
  </si>
  <si>
    <t>DC-SD-33-2</t>
  </si>
  <si>
    <t>M-DC-SD-33-2</t>
  </si>
  <si>
    <t>J-DC-SD-33-2</t>
  </si>
  <si>
    <t>Pengadaan dan pemasangan 1 subduct 40/33 pada polongan route duct, 2 pipa</t>
  </si>
  <si>
    <t>DC-SD-43-1</t>
  </si>
  <si>
    <t>M-DC-SD-43-1</t>
  </si>
  <si>
    <t>J-DC-SD-43-1</t>
  </si>
  <si>
    <t>Pengadaan dan pemasangan 1 subduct 50/42 pada polongan route duct</t>
  </si>
  <si>
    <t>DC-SD-43-2</t>
  </si>
  <si>
    <t>M-DC-SD-43-2</t>
  </si>
  <si>
    <t>J-DC-SD-43-2</t>
  </si>
  <si>
    <t>Engadaan dan pemasangan 1 subduct 50/42 pada polongan route duct, 2 pipa</t>
  </si>
  <si>
    <t>DC-SOC</t>
  </si>
  <si>
    <t>M-DC-SOC</t>
  </si>
  <si>
    <t>J-DC-SOC</t>
  </si>
  <si>
    <t>Pengadaan dan Pemasangan Adaptor Splice On Connector (SOC)</t>
  </si>
  <si>
    <t>DCD-PVC-1</t>
  </si>
  <si>
    <t>M-DCD-PVC-1</t>
  </si>
  <si>
    <t>J-DCD-PVC-1</t>
  </si>
  <si>
    <t>Pengadaan dan pemasangan duct cable penanggal diameter pipa pvc 2 inch (class aw) 1 pipa</t>
  </si>
  <si>
    <t>DD-BM-100-1</t>
  </si>
  <si>
    <t>M-DD-BM-100-1</t>
  </si>
  <si>
    <t>J-DD-BM-100-1</t>
  </si>
  <si>
    <t>Pengadaan dan pemasangan pipa galvanis dengan ukuran diameter 100 mm dan ketebalan 3,65 mm dengan cara boring manual /mesin 1 pipa dengan kedalaman minimal 150 cm</t>
  </si>
  <si>
    <t>DD-BM-100-2</t>
  </si>
  <si>
    <t>M-DD-BM-100-2</t>
  </si>
  <si>
    <t>J-DD-BM-100-2</t>
  </si>
  <si>
    <t>Pengadaan dan pemasangan pipa galvanis dengan ukuran diameter 100 mm dan ketebalan 3,65 mm dengan cara boring manual /mesin 1 pipa dengan kedalaman minimal 150 cm, 2 pipa</t>
  </si>
  <si>
    <t>DD-BM-50-1</t>
  </si>
  <si>
    <t>M-DD-BM-50-1</t>
  </si>
  <si>
    <t>J-DD-BM-50-1</t>
  </si>
  <si>
    <t>Pengadaan dan pemasangan pipa galvanis dengan ukuran diameter 50 mm dan ketebalan 2,7 mm cara boring manual /mesin 1 pipa dengan kedalaman minimal 150 cm</t>
  </si>
  <si>
    <t>DD-BM-50-2</t>
  </si>
  <si>
    <t>M-DD-BM-50-2</t>
  </si>
  <si>
    <t>J-DD-BM-50-2</t>
  </si>
  <si>
    <t>Pengadaan dan pemasangan pipa galvanis dengan ukuran diameter 50 mm dan ketebalan 2,7 mm cara boring manual /mesin 2 pipa dengan kedalaman minimal 150 cm</t>
  </si>
  <si>
    <t>DD-BM-HDPE-40-1</t>
  </si>
  <si>
    <t>J-DD-BM-HDPE-40-1</t>
  </si>
  <si>
    <t>Pekerjaan boring manual (rojok) hdpe 40/33 mm 1 pipa dengan kedalaman 1,5 meter</t>
  </si>
  <si>
    <t>DD-BM-HDPE-50-1</t>
  </si>
  <si>
    <t>J-DD-BM-HDPE-50-1</t>
  </si>
  <si>
    <t>Pekerjaan boring manual (rojok) hdpe 50/42 mm 1 pipa dengan kedalaman 1,5 meter</t>
  </si>
  <si>
    <t>DD-BMR-1</t>
  </si>
  <si>
    <t>M-DD-BMR-1</t>
  </si>
  <si>
    <t>J-DD-BMR-1</t>
  </si>
  <si>
    <t>Pengadaan dan pemasangan boring pada lintasan kereta api menggunakan 1 pipa galvanis diameter 100 mm tebal 3,65 mm</t>
  </si>
  <si>
    <t>track</t>
  </si>
  <si>
    <t>DD-BMR-2</t>
  </si>
  <si>
    <t>M-DD-BMR-2</t>
  </si>
  <si>
    <t>J-DD-BMR-2</t>
  </si>
  <si>
    <t>Pengadaan dan pemasangan boring pada lintasan kereta api menggunakan 2 pipa galvanis diameter 100 mm tebal 3,65 mm</t>
  </si>
  <si>
    <t>DD-BMR-4</t>
  </si>
  <si>
    <t>M-DD-BMR-4</t>
  </si>
  <si>
    <t>J-DD-BMR-4</t>
  </si>
  <si>
    <t>Pengadaan dan pemasangan boring pada lintasan kereta api menggunakan 4 pipa galvanis diameter 100 mm tebal 3,65 mm</t>
  </si>
  <si>
    <t>DD-BSS-S1</t>
  </si>
  <si>
    <t>M-DD-BSS-S1</t>
  </si>
  <si>
    <t>J-DD-BSS-S1</t>
  </si>
  <si>
    <t>Pengadaan dan pemasangan pipa duct pada jembatan dengan self support berpenguatan menggunakan pipa besi galv 1 pipa, bentang 6 - 12 meter</t>
  </si>
  <si>
    <t>DD-BSS-S2</t>
  </si>
  <si>
    <t>M-DD-BSS-S2</t>
  </si>
  <si>
    <t>J-DD-BSS-S2</t>
  </si>
  <si>
    <t>Pengadaan dan pemasangan pipa duct pada jembatan dengan self support berpenguatan menggunakan pipa besi galv 2 pipa, bentang 6 - 12 meter</t>
  </si>
  <si>
    <t>DD-BTS-S1</t>
  </si>
  <si>
    <t>M-DD-BTS-S1</t>
  </si>
  <si>
    <t>J-DD-BTS-S1</t>
  </si>
  <si>
    <t>Pengadaan dan pemasangan pipa duct pada jembatan menggunakan pipa besi galv 1 pipa, bentang 6 - 12 meter</t>
  </si>
  <si>
    <t>DD-BTS-S2</t>
  </si>
  <si>
    <t>M-DD-BTS-S2</t>
  </si>
  <si>
    <t>J-DD-BTS-S2</t>
  </si>
  <si>
    <t>Pengadaan dan pemasangan pipa duct pada jembatan menggunakan pipa besi galv 2 pipa, bentang 6 - 12 meter</t>
  </si>
  <si>
    <t>DD-BTS-S4</t>
  </si>
  <si>
    <t>M-DD-BTS-S4</t>
  </si>
  <si>
    <t>J-DD-BTS-S4</t>
  </si>
  <si>
    <t>Pengadaan dan pemasangan pipa duct pada jembatan menggunakan pipa besi galv 4 pipa, bentang 6 - 12 meter</t>
  </si>
  <si>
    <t>DD-DA-S1</t>
  </si>
  <si>
    <t>M-DD-DA-S1</t>
  </si>
  <si>
    <t>J-DD-DA-S1</t>
  </si>
  <si>
    <t>Pengadaan dan pemasangan pipa duct menempel pada jembatan existing menggunakan pipa galvanis diamenter 100 mm, tebal 3,65 mm, 1 pipa</t>
  </si>
  <si>
    <t>DD-DA-S2</t>
  </si>
  <si>
    <t>M-DD-DA-S2</t>
  </si>
  <si>
    <t>J-DD-DA-S2</t>
  </si>
  <si>
    <t>Pengadaan dan pemasangan pipa duct menempel pada jembatan existing menggunakan pipa galvanis diamenter 100 mm, tebal 3,65 mm, 2 pipa</t>
  </si>
  <si>
    <t>DD-DA-S4</t>
  </si>
  <si>
    <t>M-DD-DA-S4</t>
  </si>
  <si>
    <t>J-DD-DA-S4</t>
  </si>
  <si>
    <t>Pengadaan dan pemasangan pipa duct menempel pada jembatan existing menggunakan pipa galvanis diamenter 100 mm, tebal 3,65 mm, 4 pipa</t>
  </si>
  <si>
    <t>DD-DS-COD1-M</t>
  </si>
  <si>
    <t>M-DD-DS-COD1-M</t>
  </si>
  <si>
    <t>J-DD-DS-COD1-M</t>
  </si>
  <si>
    <t>Pengadaan dan pemasangan duct baru type cod, dengan mesin pengeboran (borring) dibawah parit, pada kedalaman 1,50 m di bawah dasar selokan, tanpa perlindungan pvc, 1 pipa</t>
  </si>
  <si>
    <t>DD-DS-S1</t>
  </si>
  <si>
    <t>M-DD-DS-S1</t>
  </si>
  <si>
    <t>J-DD-DS-S1</t>
  </si>
  <si>
    <t>Pengadaan dan pemasangan duct baru dengan cara melakukan boring dibawah dasar parit/sungai dengan kedalaman 1,5 m dengan menggunakan pvc diamater 100 mm dan ketebalan 5,5 mm 1 pipa</t>
  </si>
  <si>
    <t>DD-HDPE-40-1</t>
  </si>
  <si>
    <t>M-DD-HDPE-40-1</t>
  </si>
  <si>
    <t>J-DD-HDPE-40-1</t>
  </si>
  <si>
    <t>Pengadaan dan pemasangan pipa hdpe 40/33 mm 1 pipa dengan kedalaman 1,5 meter</t>
  </si>
  <si>
    <t>DD-HDPE-40-1C</t>
  </si>
  <si>
    <t>M-DD-HDPE-40-1C</t>
  </si>
  <si>
    <t>J-DD-HDPE-40-1C</t>
  </si>
  <si>
    <t>Pengadaan dan pemasangan pipa hdpe 40/33 mm 1 pipa dengan kedalaman 1,5 meter sudah termasuk connector hdpe tipe compression fitting</t>
  </si>
  <si>
    <t>DD-HDPE-40-2</t>
  </si>
  <si>
    <t>M-DD-HDPE-40-2</t>
  </si>
  <si>
    <t>J-DD-HDPE-40-2</t>
  </si>
  <si>
    <t>Pengadaan dan pemasangan pipa hdpe 40/33 mm 2 pipa dengan kedalaman 1,5 meter</t>
  </si>
  <si>
    <t>DD-HDPE-40-2C</t>
  </si>
  <si>
    <t>M-DD-HDPE-40-2C</t>
  </si>
  <si>
    <t>J-DD-HDPE-40-2C</t>
  </si>
  <si>
    <t>Pengadaan dan pemasangan pipa hdpe 40/33 mm 2 pipa dengan kedalaman 1,5 meter sudah termasuk connector hdpe tipe compression fitting</t>
  </si>
  <si>
    <t>DD-HDPE-50-1</t>
  </si>
  <si>
    <t>M-DD-HDPE-50-1</t>
  </si>
  <si>
    <t>J-DD-HDPE-50-1</t>
  </si>
  <si>
    <t>Pengadaan dan pemasangan pipa hdpe 50/42 mm 1 pipa dengan kedalaman 1,5 meter</t>
  </si>
  <si>
    <t>DD-HDPE-50-2</t>
  </si>
  <si>
    <t>M-DD-HDPE-50-2</t>
  </si>
  <si>
    <t>J-DD-HDPE-50-2</t>
  </si>
  <si>
    <t>Pengadaan dan pemasangan pipa hdpe 50/42 mm 2 pipa dengan kedalaman 1,5 meter</t>
  </si>
  <si>
    <t>DD-MDDB-12A</t>
  </si>
  <si>
    <t>M-DD-MDDB-12A</t>
  </si>
  <si>
    <t>J-DD-MDDB-12A</t>
  </si>
  <si>
    <t>Pengadaan dan Pemasangan Micro Duct 5/3.5mm, Direct Buried, 12 way, untuk Air / Water Blowing kabel FO termasuk connector</t>
  </si>
  <si>
    <t>DD-MDDB-19A</t>
  </si>
  <si>
    <t>M-DD-MDDB-19A</t>
  </si>
  <si>
    <t>J-DD-MDDB-19A</t>
  </si>
  <si>
    <t>Pengadaan dan Pemasangan Micro Duct 5/3.5mm, Direct Buried, 19 way, untuk Air / Water Blowing kabel FO termasuk connector</t>
  </si>
  <si>
    <t>DD-MDDB-1A</t>
  </si>
  <si>
    <t>M-DD-MDDB-1A</t>
  </si>
  <si>
    <t>J-DD-MDDB-1A</t>
  </si>
  <si>
    <t>Pengadaan dan Pemasangan Micro Duct 5/3.5mm, Direct Buried, 1 way, untuk Air / Water Blowing kabel FO termasuk connector</t>
  </si>
  <si>
    <t>DD-MDDB-1B</t>
  </si>
  <si>
    <t>M-DD-MDDB-1B</t>
  </si>
  <si>
    <t>J-DD-MDDB-1B</t>
  </si>
  <si>
    <t>Pengadaan dan Pemasangan Micro Duct 10/8mm, Direct Buried, 1 way, untuk Air / Water Blowing kabel FO termasuk connector</t>
  </si>
  <si>
    <t>DD-MDDB-1C</t>
  </si>
  <si>
    <t>M-DD-MDDB-1C</t>
  </si>
  <si>
    <t>J-DD-MDDB-1C</t>
  </si>
  <si>
    <t>Pengadaan dan Pemasangan Micro Duct 12/10mm, Direct Buried, 1 way, untuk Air / Water Blowing kabel FO termasuk connector</t>
  </si>
  <si>
    <t>DD-MDDB-24A</t>
  </si>
  <si>
    <t>M-DD-MDDB-24A</t>
  </si>
  <si>
    <t>J-DD-MDDB-24A</t>
  </si>
  <si>
    <t>Pengadaan dan Pemasangan Micro Duct 5/3.5mm, Direct Buried, 24 way, untuk Air / Water Blowing kabel FO termasuk connector</t>
  </si>
  <si>
    <t>DD-MDDB-2A</t>
  </si>
  <si>
    <t>M-DD-MDDB-2A</t>
  </si>
  <si>
    <t>J-DD-MDDB-2A</t>
  </si>
  <si>
    <t>Pengadaan dan Pemasangan Micro Duct 5/3.5mm, Direct Buried, 2 way, untuk Air / Water Blowing kabel FO termasuk connector</t>
  </si>
  <si>
    <t>DD-MDDB-2B</t>
  </si>
  <si>
    <t>M-DD-MDDB-2B</t>
  </si>
  <si>
    <t>J-DD-MDDB-2B</t>
  </si>
  <si>
    <t>Pengadaan dan Pemasangan Micro Duct 10/8mm, Direct Buried, 2 way, untuk Air / Water Blowing kabel FO termasuk connector</t>
  </si>
  <si>
    <t>DD-MDDB-2C</t>
  </si>
  <si>
    <t>M-DD-MDDB-2C</t>
  </si>
  <si>
    <t>J-DD-MDDB-2C</t>
  </si>
  <si>
    <t>Pengadaan dan Pemasangan Micro Duct 12/10mm, Direct Buried, 2 way, untuk Air / Water Blowing kabel FO termasuk connector</t>
  </si>
  <si>
    <t>DD-MDDB-4A</t>
  </si>
  <si>
    <t>M-DD-MDDB-4A</t>
  </si>
  <si>
    <t>J-DD-MDDB-4A</t>
  </si>
  <si>
    <t>Pengadaan dan Pemasangan Micro Duct 5/3.5mm, Direct Buried, 4 way, untuk Air / Water Blowing kabel FO termasuk connector</t>
  </si>
  <si>
    <t>DD-MDDB-4B</t>
  </si>
  <si>
    <t>M-DD-MDDB-4B</t>
  </si>
  <si>
    <t>J-DD-MDDB-4B</t>
  </si>
  <si>
    <t>Pengadaan dan Pemasangan Micro Duct 10/8mm, Direct Buried, 4 way, untuk Air / Water Blowing kabel FO termasuk connector</t>
  </si>
  <si>
    <t>DD-MDDB-4C</t>
  </si>
  <si>
    <t>M-DD-MDDB-4C</t>
  </si>
  <si>
    <t>J-DD-MDDB-4C</t>
  </si>
  <si>
    <t>Pengadaan dan Pemasangan Micro Duct 12/10mm, Direct Buried, 4 way, untuk Air / Water Blowing kabel FO termasuk connector</t>
  </si>
  <si>
    <t>DD-MDDB-7A</t>
  </si>
  <si>
    <t>M-DD-MDDB-7A</t>
  </si>
  <si>
    <t>J-DD-MDDB-7A</t>
  </si>
  <si>
    <t>Pengadaan dan Pemasangan Micro Duct 5/3.5mm, Direct Buried,7 way, untuk Air / Water Blowing kabel FO termasuk connector</t>
  </si>
  <si>
    <t>DD-MDDB-7B</t>
  </si>
  <si>
    <t>M-DD-MDDB-7B</t>
  </si>
  <si>
    <t>J-DD-MDDB-7B</t>
  </si>
  <si>
    <t>Pengadaan dan Pemasangan Micro Duct 10/8mm, Direct Buried, 7 way, untuk Air / Water Blowing kabel FO termasuk connector</t>
  </si>
  <si>
    <t>DD-MDDB-7C</t>
  </si>
  <si>
    <t>M-DD-MDDB-7C</t>
  </si>
  <si>
    <t>J-DD-MDDB-7C</t>
  </si>
  <si>
    <t>Pengadaan dan Pemasangan Micro Duct 12/10mm, Direct Buried, 7 way, untuk Air / Water Blowing kabel FO termasuk connector</t>
  </si>
  <si>
    <t>DD-MDDI-12A</t>
  </si>
  <si>
    <t>M-DD-MDDI-12A</t>
  </si>
  <si>
    <t>J-DD-MDDI-12A</t>
  </si>
  <si>
    <t>Pengadaan dan Pemasangan Micro Duct 5/3.5mm, Direct Install, 12 way, untuk Air / Water Blowing kabel FO termasuk connector</t>
  </si>
  <si>
    <t>DD-MDDI-19A</t>
  </si>
  <si>
    <t>M-DD-MDDI-19A</t>
  </si>
  <si>
    <t>J-DD-MDDI-19A</t>
  </si>
  <si>
    <t>Pengadaan dan Pemasangan Micro Duct 5/3.5mm, Direct Install, 19 way, untuk Air / Water Blowing kabel FO termasuk connector</t>
  </si>
  <si>
    <t>DD-MDDI-1A</t>
  </si>
  <si>
    <t>M-DD-MDDI-1A</t>
  </si>
  <si>
    <t>J-DD-MDDI-1A</t>
  </si>
  <si>
    <t>Pengadaan dan Pemasangan Micro Duct 5/3.5mm, Direct Install, 1 way, untuk Air / Water Blowing kabel FO termasuk connector</t>
  </si>
  <si>
    <t>DD-MDDI-1B</t>
  </si>
  <si>
    <t>M-DD-MDDI-1B</t>
  </si>
  <si>
    <t>J-DD-MDDI-1B</t>
  </si>
  <si>
    <t>Pengadaan dan Pemasangan Micro Duct 10/8mm, Direct Install, 1 way, untuk Air / Water Blowing kabel FO termasuk connector</t>
  </si>
  <si>
    <t>DD-MDDI-1C</t>
  </si>
  <si>
    <t>M-DD-MDDI-1C</t>
  </si>
  <si>
    <t>J-DD-MDDI-1C</t>
  </si>
  <si>
    <t>Pengadaan dan Pemasangan Micro Duct 12/10mm, Direct Install, 1 way, untuk Air / Water Blowing kabel FO termasuk connector</t>
  </si>
  <si>
    <t>DD-MDDI-1D</t>
  </si>
  <si>
    <t>M-DD-MDDI-1D</t>
  </si>
  <si>
    <t>J-DD-MDDI-1D</t>
  </si>
  <si>
    <t>Pengadaan dan Pemasangan Micro Duct 16/14mm, Direct Install, 1 way, untuk Air / Water Blowing kabel FO termasuk connector</t>
  </si>
  <si>
    <t>DD-MDDI-24A</t>
  </si>
  <si>
    <t>M-DD-MDDI-24A</t>
  </si>
  <si>
    <t>J-DD-MDDI-24A</t>
  </si>
  <si>
    <t>Pengadaan dan Pemasangan Micro Duct 5/3.5mm, Direct Install, 24 way, untuk Air / Water Blowing kabel FO termasuk connector</t>
  </si>
  <si>
    <t>DD-MDDI-2A</t>
  </si>
  <si>
    <t>M-DD-MDDI-2A</t>
  </si>
  <si>
    <t>J-DD-MDDI-2A</t>
  </si>
  <si>
    <t>Pengadaan dan Pemasangan Micro Duct 5/3.5mm, Direct Install, 2 way, untuk Air / Water Blowing kabel FO termasuk connector</t>
  </si>
  <si>
    <t>DD-MDDI-2B</t>
  </si>
  <si>
    <t>M-DD-MDDI-2B</t>
  </si>
  <si>
    <t>J-DD-MDDI-2B</t>
  </si>
  <si>
    <t>Pengadaan dan Pemasangan Micro Duct 10/8mm, Direct Install, 2 way, untuk Air / Water Blowing kabel FO termasuk connector</t>
  </si>
  <si>
    <t>DD-MDDI-2C</t>
  </si>
  <si>
    <t>M-DD-MDDI-2C</t>
  </si>
  <si>
    <t>J-DD-MDDI-2C</t>
  </si>
  <si>
    <t>Pengadaan dan Pemasangan Micro Duct 12/10mm, Direct Install, 2 way, untuk Air / Water Blowing kabel FO termasuk connector</t>
  </si>
  <si>
    <t>DD-MDDI-2D</t>
  </si>
  <si>
    <t>M-DD-MDDI-2D</t>
  </si>
  <si>
    <t>J-DD-MDDI-2D</t>
  </si>
  <si>
    <t>Pengadaan dan Pemasangan Micro Duct 16/14mm, Direct Install, 2 way, untuk Air / Water Blowing kabel FO termasuk connector</t>
  </si>
  <si>
    <t>DD-MDDI-4A</t>
  </si>
  <si>
    <t>M-DD-MDDI-4A</t>
  </si>
  <si>
    <t>J-DD-MDDI-4A</t>
  </si>
  <si>
    <t>Pengadaan dan Pemasangan Micro Duct 5/3.5mm, Direct Install, 4 way, untuk Air / Water Blowing kabel FO termasuk connector</t>
  </si>
  <si>
    <t>DD-MDDI-4B</t>
  </si>
  <si>
    <t>M-DD-MDDI-4B</t>
  </si>
  <si>
    <t>J-DD-MDDI-4B</t>
  </si>
  <si>
    <t>Pengadaan dan Pemasangan Micro Duct 10/8mm, Direct Install, 4 way, untuk Air / Water Blowing kabel FO termasuk connector</t>
  </si>
  <si>
    <t>DD-MDDI-4C</t>
  </si>
  <si>
    <t>M-DD-MDDI-4C</t>
  </si>
  <si>
    <t>J-DD-MDDI-4C</t>
  </si>
  <si>
    <t>Pengadaan dan Pemasangan Micro Duct 12/10mm, Direct Install, 4 way, untuk Air / Water Blowing kabel FO termasuk connector</t>
  </si>
  <si>
    <t>DD-MDDI-7A</t>
  </si>
  <si>
    <t>M-DD-MDDI-7A</t>
  </si>
  <si>
    <t>J-DD-MDDI-7A</t>
  </si>
  <si>
    <t>Pengadaan dan Pemasangan Micro Duct 5/3.5mm, Direct Install, 7 way, untuk Air / Water Blowing kabel FO termasuk connector</t>
  </si>
  <si>
    <t>DD-MDDI-7B</t>
  </si>
  <si>
    <t>M-DD-MDDI-7B</t>
  </si>
  <si>
    <t>J-DD-MDDI-7B</t>
  </si>
  <si>
    <t>Pengadaan dan Pemasangan Micro Duct 10/8mm, Direct Install, 7 way, untuk Air / Water Blowing kabel FO termasuk connector</t>
  </si>
  <si>
    <t>DD-MDDI-7C</t>
  </si>
  <si>
    <t>M-DD-MDDI-7C</t>
  </si>
  <si>
    <t>J-DD-MDDI-7C</t>
  </si>
  <si>
    <t>Pengadaan dan Pemasangan Micro Duct 12/10mm, Direct Install, 7 way, untuk Air / Water Blowing kabel FO termasuk connector</t>
  </si>
  <si>
    <t>DD-MDEC-10/8</t>
  </si>
  <si>
    <t>M-DD-MDEC-10/8</t>
  </si>
  <si>
    <t>J-DD-MDEC-10/8</t>
  </si>
  <si>
    <t>Pengadaan dan Pemasangan End Cap 10/8 mm</t>
  </si>
  <si>
    <t>DD-MDEC-12/10</t>
  </si>
  <si>
    <t>M-DD-MDEC-12/10</t>
  </si>
  <si>
    <t>J-DD-MDEC-12/10</t>
  </si>
  <si>
    <t>Pengadaan dan Pemasangan End Cap 12/10 mm</t>
  </si>
  <si>
    <t>DD-MDEC-5/3.5</t>
  </si>
  <si>
    <t>M-DD-MDEC-5/3.5</t>
  </si>
  <si>
    <t>J-DD-MDEC-5/3.5</t>
  </si>
  <si>
    <t>Pengadaan dan Pemasangan End Cap 5/3,5 mm</t>
  </si>
  <si>
    <t>DD-MDSC-10/8</t>
  </si>
  <si>
    <t>M-DD-MDSC-10/8</t>
  </si>
  <si>
    <t>J-DD-MDSC-10/8</t>
  </si>
  <si>
    <t>Pengadaan dan Pemasangan Straight Connector 10/8 mm</t>
  </si>
  <si>
    <t>DD-MDSC-12/10</t>
  </si>
  <si>
    <t>M-DD-MDSC-12/10</t>
  </si>
  <si>
    <t>J-DD-MDSC-12/10</t>
  </si>
  <si>
    <t>Pengadaan dan Pemasangan Straight Connector 12/10 mm</t>
  </si>
  <si>
    <t>DD-MDSC-5/3.5</t>
  </si>
  <si>
    <t>M-DD-MDSC-5/3.5</t>
  </si>
  <si>
    <t>J-DD-MDSC-5/3.5</t>
  </si>
  <si>
    <t>Pengadaan dan Pemasangan Straight Connector 5/3,5 mm</t>
  </si>
  <si>
    <t>DD-ROD</t>
  </si>
  <si>
    <t>J-DD-ROD</t>
  </si>
  <si>
    <t>Pekerjaan pembersihan pada route duct yang kosong / rodding duct existing.</t>
  </si>
  <si>
    <t>DD-RV-1</t>
  </si>
  <si>
    <t>M-DD-RV-1</t>
  </si>
  <si>
    <t>J-DD-RV-1</t>
  </si>
  <si>
    <t>Pekerjaan perbaikan route duct / hdpe, 1 pipa.</t>
  </si>
  <si>
    <t>DD-RV-CONCRETE</t>
  </si>
  <si>
    <t>M-DD-RV-CONCRETE</t>
  </si>
  <si>
    <t>J-DD-RV-CONCRETE</t>
  </si>
  <si>
    <t>Pekerjaan bobok dinding mh / hh termasuk perbaikan kembali</t>
  </si>
  <si>
    <t>m3</t>
  </si>
  <si>
    <t>DD-S3-1</t>
  </si>
  <si>
    <t>M-DD-S3-1</t>
  </si>
  <si>
    <t>J-DD-S3-1</t>
  </si>
  <si>
    <t>Pengadaan dan pemasangan pipa besi diameter 100 mm dan ketebalan pipa 3,65 mm untuk crossing 1 pipa bentang ≤ 6 meter</t>
  </si>
  <si>
    <t>DD-S3-2</t>
  </si>
  <si>
    <t>M-DD-S3-2</t>
  </si>
  <si>
    <t>J-DD-S3-2</t>
  </si>
  <si>
    <t>Pengadaan dan pemasangan pipa besi diameter 100 mm dan ketebalan pipa 3,65 mm untuk crossing 2 pipa bentang ≤ 6 meter</t>
  </si>
  <si>
    <t>DD-S3-3</t>
  </si>
  <si>
    <t>M-DD-S3-3</t>
  </si>
  <si>
    <t>J-DD-S3-3</t>
  </si>
  <si>
    <t>Pengadaan dan pemasangan pipa besi diameter 100 mm dan ketebalan pipa 3,65 mm untuk crossing 3 pipa bentang ≤ 6 meter</t>
  </si>
  <si>
    <t>DD-V4-1</t>
  </si>
  <si>
    <t>M-DD-V4-1</t>
  </si>
  <si>
    <t>J-DD-V4-1</t>
  </si>
  <si>
    <t>Pengadan dan pemasangan pipa duct pvc diameter dalam 100 mm, ketebalan 4 mm, 1 pipa termasuk pengecoran</t>
  </si>
  <si>
    <t>DD-V4-2</t>
  </si>
  <si>
    <t>M-DD-V4-2</t>
  </si>
  <si>
    <t>J-DD-V4-2</t>
  </si>
  <si>
    <t>Pengadan dan pemasangan pipa duct pvc diameter dalam 100 mm, ketebalan 4 mm, 2 pipa termasuk pengecoran</t>
  </si>
  <si>
    <t>DD-V5-1</t>
  </si>
  <si>
    <t>M-DD-V5-1</t>
  </si>
  <si>
    <t>J-DD-V5-1</t>
  </si>
  <si>
    <t>Pemasangan pipa duct dengan selubung pasir dia 100 mm dengan ketebalan 5,5 mm, 1 pipa ( crossing )</t>
  </si>
  <si>
    <t>DD-V5-2</t>
  </si>
  <si>
    <t>M-DD-V5-2</t>
  </si>
  <si>
    <t>J-DD-V5-2</t>
  </si>
  <si>
    <t>Pemasangan pipa duct dengan selubung pasir dia 100 mm dengan ketebalan 5,5 mm, 2 pipa ( crossing )</t>
  </si>
  <si>
    <t>DIS-ODP</t>
  </si>
  <si>
    <t>J-DIS-ODP</t>
  </si>
  <si>
    <t>PEMBONGKARAN ODP BESERTA ASESORISNYA DAN JASA PEMBAWAAN KE GUDANG TELKOM</t>
  </si>
  <si>
    <t>DISMANTLING-MDU</t>
  </si>
  <si>
    <t>J-DISMANTLING-MDU</t>
  </si>
  <si>
    <t>DISMANTLING MDU DAN ASSESORIESNYA, CHECKLIST PENDATAAN, DAN REKONDISI EKS LOKASI BONGKARAN MDU</t>
  </si>
  <si>
    <t>Ls</t>
  </si>
  <si>
    <t>DP-CLEAN</t>
  </si>
  <si>
    <t>J-DP-CLEAN</t>
  </si>
  <si>
    <t>PEMELIHARAAN/PERAPIHAN/PEMBERSIHAN LUAR-DALAM</t>
  </si>
  <si>
    <t>Set</t>
  </si>
  <si>
    <t>DP-GRD</t>
  </si>
  <si>
    <t>J-DP-GRD</t>
  </si>
  <si>
    <t>PEMELIHARAAN &amp; PENGUKURAN GROUNDING</t>
  </si>
  <si>
    <t>DP-IDLE</t>
  </si>
  <si>
    <t>J-DP-IDLE</t>
  </si>
  <si>
    <t>PEMBONGKARAN DP IDLE</t>
  </si>
  <si>
    <t>DP-LAB</t>
  </si>
  <si>
    <t>J-DP-LAB</t>
  </si>
  <si>
    <t>PELABELAN</t>
  </si>
  <si>
    <t>DP-MOVING</t>
  </si>
  <si>
    <t>J-DP-MOVING</t>
  </si>
  <si>
    <t>PENGALIHAN DP (KE TIANG YG LAIN)</t>
  </si>
  <si>
    <t>DP-TIANG</t>
  </si>
  <si>
    <t>J-DP-TIANG</t>
  </si>
  <si>
    <t>PENGECATAN BRANDING TIANG WARNA MERAH SILVER</t>
  </si>
  <si>
    <t>Btg</t>
  </si>
  <si>
    <t>DW-JOINT</t>
  </si>
  <si>
    <t>J-DW-JOINT</t>
  </si>
  <si>
    <t>PEMBENAHAN SAMBUNGAN DW</t>
  </si>
  <si>
    <t>EC-26-52</t>
  </si>
  <si>
    <t>M-EC-26-52</t>
  </si>
  <si>
    <t>J-EC-26-52</t>
  </si>
  <si>
    <t>END CAP UKURAN 26-52</t>
  </si>
  <si>
    <t>EC-4-10</t>
  </si>
  <si>
    <t>M-EC-4-10</t>
  </si>
  <si>
    <t>J-EC-4-10</t>
  </si>
  <si>
    <t>END CAP UKURAN 4-10</t>
  </si>
  <si>
    <t>FAL-LOC</t>
  </si>
  <si>
    <t>J-FAL-LOC</t>
  </si>
  <si>
    <t>PEKERJAAN PENCARIAN TITIK KABEL PUTUS PADA SAAT PERBAIKAN GANGGUAN MENGGUNAKAN ALAT TAMBAHAN RADIO DETECTOR</t>
  </si>
  <si>
    <t>FC-SC-DC</t>
  </si>
  <si>
    <t>M-FC-SC-DC</t>
  </si>
  <si>
    <t>J-FC-SC-DC</t>
  </si>
  <si>
    <t>Pengadaan dan pemasangan SC/UPC Connector for Drop / Indoor Cable (Fusion)</t>
  </si>
  <si>
    <t>FID-28-1</t>
  </si>
  <si>
    <t>M-FID-28-1</t>
  </si>
  <si>
    <t>J-FID-28-1</t>
  </si>
  <si>
    <t>Fabric Innerduct diameter 28mm 1 polongan</t>
  </si>
  <si>
    <t>FID-28-2</t>
  </si>
  <si>
    <t>M-FID-28-2</t>
  </si>
  <si>
    <t>J-FID-28-2</t>
  </si>
  <si>
    <t>Fabric Innerduct diameter 28mm 2 polongan</t>
  </si>
  <si>
    <t>FID-28-3</t>
  </si>
  <si>
    <t>M-FID-28-3</t>
  </si>
  <si>
    <t>J-FID-28-3</t>
  </si>
  <si>
    <t>Fabric Innerduct diameter 28mm 3 polongan</t>
  </si>
  <si>
    <t>FTM-BC-8F-1</t>
  </si>
  <si>
    <t>M-FTM-BC-8F-1</t>
  </si>
  <si>
    <t>J-FTM-BC-8F-1</t>
  </si>
  <si>
    <t>Tambahan panjang cord bundled cable 8F</t>
  </si>
  <si>
    <t>FTM-BC-8F-10</t>
  </si>
  <si>
    <t>M-FTM-BC-8F-10</t>
  </si>
  <si>
    <t>J-FTM-BC-8F-10</t>
  </si>
  <si>
    <t>FO Cord Bundled cable 8F, dengan connector satu sisi SC/LC/FC (L=10m), dan splicing di sisi lainnya</t>
  </si>
  <si>
    <t>FTM-CLEAN</t>
  </si>
  <si>
    <t>J-FTM-CLEAN</t>
  </si>
  <si>
    <t>PEMBERSIHAN RAK FTM DAN TRAY CABLE</t>
  </si>
  <si>
    <t>unit</t>
  </si>
  <si>
    <t>FTM-Connector-44</t>
  </si>
  <si>
    <t>M-FTM-Connector-44</t>
  </si>
  <si>
    <t>J-FTM-Connector-44</t>
  </si>
  <si>
    <t>Connector 4x4"</t>
  </si>
  <si>
    <t>piece</t>
  </si>
  <si>
    <t>FTM-CR-19</t>
  </si>
  <si>
    <t>M-FTM-CR-19</t>
  </si>
  <si>
    <t>J-FTM-CR-19</t>
  </si>
  <si>
    <t>Pengadaan &amp; Pemasangan Optical Fiber High Density Cable, Close Rack 19 Inch. Lengkap termasuk Fibre Management maximum Capacity 7x144 core / 42U</t>
  </si>
  <si>
    <t>FTM-Dinding</t>
  </si>
  <si>
    <t>M-FTM-Dinding</t>
  </si>
  <si>
    <t>J-FTM-Dinding</t>
  </si>
  <si>
    <t>Pembobokan Dinding untuk Jalur Kabel &amp; Perbaikan Kembali</t>
  </si>
  <si>
    <t>m2</t>
  </si>
  <si>
    <t>FTM-Exit-4</t>
  </si>
  <si>
    <t>M-FTM-Exit-4</t>
  </si>
  <si>
    <t>J-FTM-Exit-4</t>
  </si>
  <si>
    <t>4" Express exit</t>
  </si>
  <si>
    <t>FTM-GRD</t>
  </si>
  <si>
    <t>J-FTM-GRD</t>
  </si>
  <si>
    <t>PEMELIHARAAN/PENGUKURAN GROUNDING NODE</t>
  </si>
  <si>
    <t>FTM-LAB</t>
  </si>
  <si>
    <t>J-FTM-LAB</t>
  </si>
  <si>
    <t>PELABELAN CORE</t>
  </si>
  <si>
    <t>FTM-LABEL</t>
  </si>
  <si>
    <t>M-FTM-LABEL</t>
  </si>
  <si>
    <t>J-FTM-LABEL</t>
  </si>
  <si>
    <t>PEKERJAAN LABEL RACK DAN SUBRACK FTM (REVITALISASI)</t>
  </si>
  <si>
    <t>FTM-Lantai</t>
  </si>
  <si>
    <t>M-FTM-Lantai</t>
  </si>
  <si>
    <t>J-FTM-Lantai</t>
  </si>
  <si>
    <t>Pembobokan Lantai untuk Jalur Kabel &amp; Perbaikan Kembali</t>
  </si>
  <si>
    <t>FTM-LY</t>
  </si>
  <si>
    <t>J-FTM-LY</t>
  </si>
  <si>
    <t>PEREMAJAAN/UPDATE LAYOUT KABINET</t>
  </si>
  <si>
    <t>FTM-MSR-CORE</t>
  </si>
  <si>
    <t>J-FTM-MSR-CORE</t>
  </si>
  <si>
    <t>PENGUKURAN CORE</t>
  </si>
  <si>
    <t>FTM-PC</t>
  </si>
  <si>
    <t>J-FTM-PC</t>
  </si>
  <si>
    <t>PERAPIHAN PATCH CORE</t>
  </si>
  <si>
    <t>FTM-PC-Cover</t>
  </si>
  <si>
    <t>M-FTM-PC-Cover</t>
  </si>
  <si>
    <t>J-FTM-PC-Cover</t>
  </si>
  <si>
    <t>Pemasangan jalur Patchcord 4x12" lengkap cover</t>
  </si>
  <si>
    <t>FTM-Plafon</t>
  </si>
  <si>
    <t>M-FTM-Plafon</t>
  </si>
  <si>
    <t>J-FTM-Plafon</t>
  </si>
  <si>
    <t>Pembobokan Plafon untuk Jalur Kabel &amp; Perbaikan Kembali</t>
  </si>
  <si>
    <t>FTM-TF</t>
  </si>
  <si>
    <t>M-FTM-TF</t>
  </si>
  <si>
    <t>J-FTM-TF</t>
  </si>
  <si>
    <t>Trumpet flare dan kit (4x4")</t>
  </si>
  <si>
    <t>FTM-VA-PORT</t>
  </si>
  <si>
    <t>J-FTM-VA-PORT</t>
  </si>
  <si>
    <t>VALIDASI PORT FTM</t>
  </si>
  <si>
    <t>Port</t>
  </si>
  <si>
    <t>FTM-VR-90-Cover</t>
  </si>
  <si>
    <t>M-FTM-VR-90-Cover</t>
  </si>
  <si>
    <t>J-FTM-VR-90-Cover</t>
  </si>
  <si>
    <t>Vertical raise 90 dan cover (4x4")</t>
  </si>
  <si>
    <t>G-ODC-C-144</t>
  </si>
  <si>
    <t>J-G-ODC-C-144</t>
  </si>
  <si>
    <t>PENGGESERAN KABINET ODC (OUTDOOR) KAP 144 CORE (PEMBONGKARAN DAN PEMASANGAN KEMBALI TANPA MERUBAH ATAU MENGGANTI ALPRO) tidak termasuk penyambungan kabel</t>
  </si>
  <si>
    <t>G-ODC-C-288</t>
  </si>
  <si>
    <t>J-G-ODC-C-288</t>
  </si>
  <si>
    <t>PENGGESERAN KABINET ODC (OUTDOOR) KAP 288 CORE (PEMBONGKARAN DAN PEMASANGAN KEMBALI TANPA MERUBAH ATAU MENGGANTI ALPRO) tidak termasuk penyambungan kabel</t>
  </si>
  <si>
    <t>G-ODC-C-48</t>
  </si>
  <si>
    <t>J-G-ODC-C-48</t>
  </si>
  <si>
    <t>PENGGESERAN ODC-POLE (OUTDOOR) KAP 48 CORE (PEMBONGKARAN DAN PEMASANGAN KEMBALI TANPA MERUBAH ATAU MENGGANTI ALPRO) tidak termasuk penyambungan kabel</t>
  </si>
  <si>
    <t>G-ODP-A-16</t>
  </si>
  <si>
    <t>J-G-ODP-A-16</t>
  </si>
  <si>
    <t>PENGGESERAN ODP TYPE INDOOR/WALL KAP 16 CORE (TANPA MERUBAH ATAU MENGGANTI ALPRO)</t>
  </si>
  <si>
    <t>G-ODP-A-8</t>
  </si>
  <si>
    <t>J-G-ODP-A-8</t>
  </si>
  <si>
    <t>PENGGESERAN ODP TYPE INDOOR/WALL KAP 8 CORE (TANPA MERUBAH ATAU MENGGANTI ALPRO)</t>
  </si>
  <si>
    <t>G-ODP-CA-16</t>
  </si>
  <si>
    <t>J-G-ODP-CA-16</t>
  </si>
  <si>
    <t>PENGGESERAN ODP TYPE CLOSURE AERIAL KAP 16 CORE (TANPA MERUBAH ATAU MENGGANTI ALPRO)</t>
  </si>
  <si>
    <t>G-ODP-CA-8</t>
  </si>
  <si>
    <t>J-G-ODP-CA-8</t>
  </si>
  <si>
    <t>PENGGESERAN ODP TYPE CLOSURE AERIAL KAP 8 CORE (TANPA MERUBAH ATAU MENGGANTI ALPRO)</t>
  </si>
  <si>
    <t>G-ODP-PB-16</t>
  </si>
  <si>
    <t>J-G-ODP-PB-16</t>
  </si>
  <si>
    <t>PENGGESERAN ODP TYPE OUTDOOR/WALL DAN POLE KAP 16 CORE (TANPA MERUBAH ATAU MENGGANTI ALPRO)</t>
  </si>
  <si>
    <t>G-ODP-PB-8</t>
  </si>
  <si>
    <t>J-G-ODP-PB-8</t>
  </si>
  <si>
    <t>PENGGESERAN ODP TYPE OUTDOOR/WALL DAN POLE KAP 8 CORE (TANPA MERUBAH ATAU MENGGANTI ALPRO)</t>
  </si>
  <si>
    <t>G-ODP-PL-16</t>
  </si>
  <si>
    <t>J-G-ODP-PL-16</t>
  </si>
  <si>
    <t>PENGGESERAN ODP ( PILAR ) KAP 16 CORE TERMASUK PIGTAIL (PEMBONGKARAN DAN PEMASANGAN KEMBALI TANPA MERUBAH ATAU MENGGANTI ALPRO)</t>
  </si>
  <si>
    <t>G-ODP-PL-8</t>
  </si>
  <si>
    <t>J-G-ODP-PL-8</t>
  </si>
  <si>
    <t>PENGGESERAN ODP ( PILAR ) KAP 8 CORE TERMASUK PIGTAIL (PEMBONGKARAN DAN PEMASANGAN KEMBALI TANPA MERUBAH ATAU MENGGANTI ALPRO)</t>
  </si>
  <si>
    <t>G-ODP-SOLID-PB-16</t>
  </si>
  <si>
    <t>J-G-ODP-SOLID-PB-16</t>
  </si>
  <si>
    <t>PENGGESERAN ODP TYPE SOLID KAP 16 CORE (TANPA MERUBAH ATAU MENGGANTI ALPRO)</t>
  </si>
  <si>
    <t>G-ODP-SOLID-PB-8</t>
  </si>
  <si>
    <t>J-G-ODP-SOLID-PB-8</t>
  </si>
  <si>
    <t>PENGGESERAN ODP TYPE SOLID KAP 8 CORE (TANPA MERUBAH ATAU MENGGANTI ALPRO)</t>
  </si>
  <si>
    <t>GB-G-INTG</t>
  </si>
  <si>
    <t>M-GB-G-INTG</t>
  </si>
  <si>
    <t>J-GB-G-INTG</t>
  </si>
  <si>
    <t>Pengadaan dan pemasangan material grounding di lokasi gedung eksisting dengan cara integrasi</t>
  </si>
  <si>
    <t>GB-G1</t>
  </si>
  <si>
    <t>M-GB-G1</t>
  </si>
  <si>
    <t>J-GB-G1</t>
  </si>
  <si>
    <t>Pengadaan dan pemasangan grounding 1 titik rod pada odp /kotak pembagi dengan tahanan maks 3 ohm</t>
  </si>
  <si>
    <t>GB-G3</t>
  </si>
  <si>
    <t>M-GB-G3</t>
  </si>
  <si>
    <t>J-GB-G3</t>
  </si>
  <si>
    <t>Pengadaan dan pemasangan grounding 3 titik rod pada odc dengan tahanan maks 1 ohm</t>
  </si>
  <si>
    <t>GC-NYAF-16</t>
  </si>
  <si>
    <t>M-GC-NYAF-16</t>
  </si>
  <si>
    <t>J-GC-NYAF-16</t>
  </si>
  <si>
    <t>Kabel Grounding NYAF 16 mm</t>
  </si>
  <si>
    <t>GT-J-HH1-TTP3</t>
  </si>
  <si>
    <t>M-GT-J-HH1-TTP3</t>
  </si>
  <si>
    <t>J-GT-J-HH1-TTP3</t>
  </si>
  <si>
    <t>PENGGANTIAN TUTUP HH TYPE 1 TUTUP-3</t>
  </si>
  <si>
    <t>GT-J-HH2-TTP2</t>
  </si>
  <si>
    <t>M-GT-J-HH2-TTP2</t>
  </si>
  <si>
    <t>J-GT-J-HH2-TTP2</t>
  </si>
  <si>
    <t>PENGGANTIAN TUTUP HH TYPE 2 TUTUP-2</t>
  </si>
  <si>
    <t>GU-G</t>
  </si>
  <si>
    <t>M-GU-G</t>
  </si>
  <si>
    <t>J-GU-G</t>
  </si>
  <si>
    <t>Pengadaan dan pemasangan temberang tarik</t>
  </si>
  <si>
    <t>H-CLAMP</t>
  </si>
  <si>
    <t>M-H-CLAMP</t>
  </si>
  <si>
    <t>J-H-CLAMP</t>
  </si>
  <si>
    <t>PENGADAAN DAN PEMASANGAN AKSESORIS TIANG HOSE CLAMP</t>
  </si>
  <si>
    <t>HB-PC-2</t>
  </si>
  <si>
    <t>M-HB-PC-2</t>
  </si>
  <si>
    <t>J-HB-PC-2</t>
  </si>
  <si>
    <t>PENGADAAN DAN PEMASANGAN PIPA DUCT DENGAN SYSTEM GANTUNG 2 TIANG BETON, BENTANG S/D 100 METER</t>
  </si>
  <si>
    <t>HB-PS-1</t>
  </si>
  <si>
    <t>M-HB-PS-1</t>
  </si>
  <si>
    <t>J-HB-PS-1</t>
  </si>
  <si>
    <t>Pengadaan dan pemasangan pipa duct dengan system gantung 1 tiang besi, bentang s/d 40 meter</t>
  </si>
  <si>
    <t>HB-PS-2</t>
  </si>
  <si>
    <t>M-HB-PS-2</t>
  </si>
  <si>
    <t>J-HB-PS-2</t>
  </si>
  <si>
    <t>Pengadaan dan pemasangan pipa duct dengan system gantung 2 tiang besi, bentang s/d 100 meter</t>
  </si>
  <si>
    <t>HB-PS-4</t>
  </si>
  <si>
    <t>M-HB-PS-4</t>
  </si>
  <si>
    <t>J-HB-PS-4</t>
  </si>
  <si>
    <t>Pengadaan dan pemasangan pipa duct dengan system gantung 4 tiang besi, bentang ≥ 100 meter</t>
  </si>
  <si>
    <t>HH-PIT-80</t>
  </si>
  <si>
    <t>M-HH-PIT-80</t>
  </si>
  <si>
    <t>J-HH-PIT-80</t>
  </si>
  <si>
    <t>Pembuatan Handhole Pit ukuran dimensi dalam (P x L x T = 80cm x 80cm x 80cm) cor beton 1 : 2 : 3</t>
  </si>
  <si>
    <t>HH-PIT-DP</t>
  </si>
  <si>
    <t>M-HH-PIT-DP</t>
  </si>
  <si>
    <t>J-HH-PIT-DP</t>
  </si>
  <si>
    <t>PEKERJAAN PEMBUATAN HH PIT DP LENGKAP DENGAN PENUTUP UKURAN DIMENSI DALAM (PXLXT = 60 X 40 X 60 CM) BERTULANG COR BETON 1:2:3 BESERTA AKSESORISNYA</t>
  </si>
  <si>
    <t>HH-PIT-HA</t>
  </si>
  <si>
    <t>M-HH-PIT-HA</t>
  </si>
  <si>
    <t>J-HH-PIT-HA</t>
  </si>
  <si>
    <t>PEKERJAAN PEMBUATAN HH PIT HOME ACCESS LENGKAP DENGAN PENUTUP UKURAN DIMENSI DALAM (PXLXT = 40 X 40 X 40 CM) BERTULANG COR BETON 1:2:3 BESERTA AKSESORISNYA</t>
  </si>
  <si>
    <t>HH-PIT-P-HA</t>
  </si>
  <si>
    <t>M-HH-PIT-P-HA</t>
  </si>
  <si>
    <t>J-HH-PIT-P-HA</t>
  </si>
  <si>
    <t>Pekerjaan Pembuatan HH Pit Portable Home Access beserta aksesorisnya</t>
  </si>
  <si>
    <t>HH-PIT-P-ODC</t>
  </si>
  <si>
    <t>M-HH-PIT-P-ODC</t>
  </si>
  <si>
    <t>J-HH-PIT-P-ODC</t>
  </si>
  <si>
    <t>Pekerjaan Pembuatan HH Pit Portable ODC beserta aksesorisnya</t>
  </si>
  <si>
    <t>HH-PIT-P-ODP</t>
  </si>
  <si>
    <t>M-HH-PIT-P-ODP</t>
  </si>
  <si>
    <t>J-HH-PIT-P-ODP</t>
  </si>
  <si>
    <t>Pekerjaan Pembuatan HH Pit Portable ODP beserta aksesorisnya</t>
  </si>
  <si>
    <t>HS-PS-Exist</t>
  </si>
  <si>
    <t>M-HS-PS-Exist</t>
  </si>
  <si>
    <t>J-HS-PS-Exist</t>
  </si>
  <si>
    <t>Pengadaan den Pemasangan Slstem Gantung pads tiang ekslsting menggunaken kewet sling baja den klem due lubang</t>
  </si>
  <si>
    <t>J-DC-AE-G657-1</t>
  </si>
  <si>
    <t>Jasa Pemasangan DROP CABLE FO atas tanah/Aerial, 1 Core Single Mode G.657 hasil refurbish</t>
  </si>
  <si>
    <t>Meter</t>
  </si>
  <si>
    <t>Klem Galvanise</t>
  </si>
  <si>
    <t>M-Klem Galvanise</t>
  </si>
  <si>
    <t>J-Klem Galvanise</t>
  </si>
  <si>
    <t>Pengadaan &amp; Pemasangan klem galvanise untuk airblown pipe dengan ketebalan 2mm, lebar 2.5 cm menggunakan dynabolt termasuk rekondisi atau perbaikan kerusakan</t>
  </si>
  <si>
    <t>Klem HDPE</t>
  </si>
  <si>
    <t>M-Klem HDPE</t>
  </si>
  <si>
    <t>J-Klem HDPE</t>
  </si>
  <si>
    <t>Pengkleman hdpe di dinding beton dengan klem ketebalan 2mm lebar 2,5 cm menggunakan dynabolt termasuk rekondisi atau perbaikan kerusakan</t>
  </si>
  <si>
    <t>KWH-MTR</t>
  </si>
  <si>
    <t>M-KWH-MTR</t>
  </si>
  <si>
    <t>J-KWH-MTR</t>
  </si>
  <si>
    <t>Panel KWH meter 1 phase</t>
  </si>
  <si>
    <t>Label Kabel Distribusi (KU FO)</t>
  </si>
  <si>
    <t>M-Label Kabel Distribusi (KU FO)</t>
  </si>
  <si>
    <t>J-Label Kabel Distribusi (KU FO)</t>
  </si>
  <si>
    <t>Pengadaan dan Pemasangan label kabel distribusi fo dengan material akrilik warna (P x L = 5cm x 15cm, tebal = 5 mm)</t>
  </si>
  <si>
    <t>LHR-MH</t>
  </si>
  <si>
    <t>M-LHR-MH</t>
  </si>
  <si>
    <t>J-LHR-MH</t>
  </si>
  <si>
    <t>PENINGGIAN LEHER MH</t>
  </si>
  <si>
    <t>MH-CA</t>
  </si>
  <si>
    <t>M-MH-CA</t>
  </si>
  <si>
    <t>J-MH-CA</t>
  </si>
  <si>
    <t>Pekerjaan Peninggian Tutup Manhole/Handhole</t>
  </si>
  <si>
    <t>MH-HH1</t>
  </si>
  <si>
    <t>M-MH-HH1</t>
  </si>
  <si>
    <t>J-MH-HH1</t>
  </si>
  <si>
    <t>Pekerjaan Pembuatan Handhole Type HH1 ukuran dimensi dalam (P X L X T = 170x150x165) cor beton 1 : 2 : 3</t>
  </si>
  <si>
    <t>MH-HH2</t>
  </si>
  <si>
    <t>M-MH-HH2</t>
  </si>
  <si>
    <t>J-MH-HH2</t>
  </si>
  <si>
    <t>Pekerjaan Pembuatan Handhole Type HH2 ukuran dimensi dalam (P X L X T = 120x130x165) cor beton 1 : 2 : 3</t>
  </si>
  <si>
    <t>MTT-RL-7/9</t>
  </si>
  <si>
    <t>J-MTT-RL-7/9</t>
  </si>
  <si>
    <t>MENEGAKKAN TIANG BESI MIRING RUTE LURUS (DW/KU)</t>
  </si>
  <si>
    <t>MTT-RS-7/9</t>
  </si>
  <si>
    <t>J-MTT-RS-7/9</t>
  </si>
  <si>
    <t>MENEGAKKAN TIANG BESI MIRING RUTE SUDUT (DW/KU)</t>
  </si>
  <si>
    <t>NE-KEY</t>
  </si>
  <si>
    <t>M-NE-KEY</t>
  </si>
  <si>
    <t>J-NE-KEY</t>
  </si>
  <si>
    <t>PENGGANTIAN KUNCI NODE UKURAN 70MM</t>
  </si>
  <si>
    <t>Node</t>
  </si>
  <si>
    <t>NE-KOORD</t>
  </si>
  <si>
    <t>J-NE-KOORD</t>
  </si>
  <si>
    <t>MENGUKUR KOORDINAT NETWORK ELEMENT DAN MENYERAHKANNYA KE TELKOM</t>
  </si>
  <si>
    <t>NE-LOG</t>
  </si>
  <si>
    <t>J-NE-LOG</t>
  </si>
  <si>
    <t>MELENGKAPI LOGBOOK NODE NETWORK ELEMENT</t>
  </si>
  <si>
    <t>NE-MS-ALARM</t>
  </si>
  <si>
    <t>J-NE-MS-ALARM</t>
  </si>
  <si>
    <t>PENGECEKAN ALARM</t>
  </si>
  <si>
    <t>NE-MS-BATT</t>
  </si>
  <si>
    <t>J-NE-MS-BATT</t>
  </si>
  <si>
    <t>PENGUKURAN DAN PEMELIHARAAN BATERAI</t>
  </si>
  <si>
    <t>Bank</t>
  </si>
  <si>
    <t>NE-MS-BKR</t>
  </si>
  <si>
    <t>J-NE-MS-BKR</t>
  </si>
  <si>
    <t>PEKERJAAN PEMBONGKARAN PERANGKAT AKTIF (MSAN, OAN, ONU, RDSLAM) BESERTA PATOK PENGAMAN DAN PERAPIHAN KEMBALI LOKASI BEKAS PEMBONGKARAN</t>
  </si>
  <si>
    <t>NE-MS-CD</t>
  </si>
  <si>
    <t>J-NE-MS-CD</t>
  </si>
  <si>
    <t>PENGUKURAN CATU DAYA PLN DAN KWH METER SERTA VALIDASI TOKEN</t>
  </si>
  <si>
    <t>NE-MS-DUST</t>
  </si>
  <si>
    <t>M-NE-MS-DUST</t>
  </si>
  <si>
    <t>J-NE-MS-DUST</t>
  </si>
  <si>
    <t>PEMASANGAN DUSH CAP</t>
  </si>
  <si>
    <t>NE-MS-FAN</t>
  </si>
  <si>
    <t>J-NE-MS-FAN</t>
  </si>
  <si>
    <t>PEMBERSIHAN DAN PENGECEKAN FAN/KIPAS</t>
  </si>
  <si>
    <t>NE-MS-GENSET</t>
  </si>
  <si>
    <t>J-NE-MS-GENSET</t>
  </si>
  <si>
    <t>MEMBAWA,MENGHIDUPKAN DAN MANJAGA OPERASIONAL GENSET SAAT PLN MATI,DAN MEMBAWA KEMBALI GENSET SAAT PLN NORMAL DI KEMBALIKAN KE TEMPAT PENYIMPANAN SEMULA</t>
  </si>
  <si>
    <t>NE-MS-GRD</t>
  </si>
  <si>
    <t>J-NE-MS-GRD</t>
  </si>
  <si>
    <t>NE-MS-ISNT</t>
  </si>
  <si>
    <t>J-NE-MS-ISNT</t>
  </si>
  <si>
    <t>PENGECEKAN DAN PENGUATAN BAUT DALAM PERANGKAT</t>
  </si>
  <si>
    <t>NE-MS-LAB</t>
  </si>
  <si>
    <t>J-NE-MS-LAB</t>
  </si>
  <si>
    <t>NE-MS-MODDELV</t>
  </si>
  <si>
    <t>J-NE-MS-MODDELV</t>
  </si>
  <si>
    <t>PENGIRIMAN DAN PENGAMBILAN MODULE PERANGKAT AKTIF YG RUSAK/TERGANGGU DARI WAREHOUSE KE LOKASI GANGGUAN DAN SEBALIKNYA TANPA MELAKSANAKAN KEGIATAN LOGIC</t>
  </si>
  <si>
    <t>NE-MS-PC</t>
  </si>
  <si>
    <t>J-NE-MS-PC</t>
  </si>
  <si>
    <t>NE-MS-RECT</t>
  </si>
  <si>
    <t>J-NE-MS-RECT</t>
  </si>
  <si>
    <t>PENGUKURAN DAN PEMELIHARAAN RECTIFIER</t>
  </si>
  <si>
    <t>NE-MS-RECT-REP</t>
  </si>
  <si>
    <t>J-NE-MS-RECT-REP</t>
  </si>
  <si>
    <t>PEMASANGAN RECTIFIER NE AKSES EKSISTING</t>
  </si>
  <si>
    <t>NE-MS-REPL-BATT-45</t>
  </si>
  <si>
    <t>M-NE-MS-REPL-BATT-45</t>
  </si>
  <si>
    <t>J-NE-MS-REPL-BATT-45</t>
  </si>
  <si>
    <t>PENGADAAN DAN PEMASANGAN UNTUK PENGGANTIAN BATERAI 45 AH (TYPE VRLA)</t>
  </si>
  <si>
    <t>NE-MS-REPL-BATT100</t>
  </si>
  <si>
    <t>M-NE-MS-REPL-BATT100</t>
  </si>
  <si>
    <t>J-NE-MS-REPL-BATT100</t>
  </si>
  <si>
    <t>PENGADAAN DAN PEMASANGAN UNTUK PENGGANTIAN BATERAI 100 AH (TYPE VRLA)</t>
  </si>
  <si>
    <t>NE-MS-REPL-BATT60</t>
  </si>
  <si>
    <t>M-NE-MS-REPL-BATT60</t>
  </si>
  <si>
    <t>J-NE-MS-REPL-BATT60</t>
  </si>
  <si>
    <t>PENGADAAN DAN PEMASANGAN UNTUK PENGGANTIAN BATERAI 60 AH (TYPE VRLA)</t>
  </si>
  <si>
    <t>NE-MS-TEMP</t>
  </si>
  <si>
    <t>J-NE-MS-TEMP</t>
  </si>
  <si>
    <t>PENGECEKAN SUHU DAN KELEMBABAN KABINET</t>
  </si>
  <si>
    <t>NYY- 3 X 2.5MM</t>
  </si>
  <si>
    <t>M-NYY- 3 X 2.5MM</t>
  </si>
  <si>
    <t>J-NYY- 3 X 2.5MM</t>
  </si>
  <si>
    <t>A. PENGADAAN KABEL LISTRIK NYY 3*2,5MM DARI ACPDB/DCPDB BOX KE MCB BOX 
  B. PENGADAAN NYY 3*2,5MM DARI MCB BOX MENUJU SOCKET POWER UNTUK RACK SERVER
  C. PENGADAAN NYY 3*2,5MM DARI MCB BOX MENUJU MESIN EDC JIKA DIBUTUHKAN</t>
  </si>
  <si>
    <t>ODC-BELT</t>
  </si>
  <si>
    <t>M-ODC-BELT</t>
  </si>
  <si>
    <t>J-ODC-BELT</t>
  </si>
  <si>
    <t>PEMASANGAN SABUK (70MM X 3MM)</t>
  </si>
  <si>
    <t>ODC-C-144</t>
  </si>
  <si>
    <t>M-ODC-C-144</t>
  </si>
  <si>
    <t>J-ODC-C-144</t>
  </si>
  <si>
    <t>Pengadaan dan pemasangan kabinet odc (outdoor) kap 144 core dengan space untuk spliter modular termasuk material adaptor sc, pigtail, pondasi berlapis keramik, lantai kerja keramik, patok pengaman (5 buah), berikut pelabelan</t>
  </si>
  <si>
    <t>ODC-C-144-PKT</t>
  </si>
  <si>
    <t>M-ODC-C-144-PKT</t>
  </si>
  <si>
    <t>J-ODC-C-144-PKT</t>
  </si>
  <si>
    <t>Pengadaan dan pemasangan kabinet odc (outdoor) kap 144 core dengan space untuk spliter modular termasuk material adaptor sc, pigtail, ditempatkan pada 2 tiang besi 7m yang dilengkapi besi penyangga antar tiang dengan rangka besi odc dan bordes lantai kerja serta grounding 5m luas penampang minimal 25mm untuk penempatan kabel fo dan grounding 1 titik, menggunakan 1 buah riser pipe 2” panjang 3m termasuk handhole odc portable</t>
  </si>
  <si>
    <t>ODC-C-144-PKU</t>
  </si>
  <si>
    <t>M-ODC-C-144-PKU</t>
  </si>
  <si>
    <t>J-ODC-C-144-PKU</t>
  </si>
  <si>
    <t>Pengadaan dan pemasangan kabinet odc (outdoor) kap 144 core dengan space untuk spliter modular termasuk material adaptor sc, pigtail, ditempatkan pada 2 tiang besi 7m yang dilengkapi besi penyangga antar tiang dengan rangka besi odc dan bordes lantai kerja serta grounding 5m luas penampang minimal 25mm untuk penempatan kabel fo dan grounding 1 titik menggunakan anchoring, span wartel dan slack support 2 buah</t>
  </si>
  <si>
    <t>ODC-C-288</t>
  </si>
  <si>
    <t>M-ODC-C-288</t>
  </si>
  <si>
    <t>J-ODC-C-288</t>
  </si>
  <si>
    <t>Pengadaan dan pemasangan kabinet odc (outdoor) kap 288 core dengan space untuk spliter modular termasuk material adaptor sc, pigtail, pondasi berlapis keramik, lantai kerja keramik, patok pengaman (5 buah), berikut pelabelan</t>
  </si>
  <si>
    <t>ODC-C-288-PKT</t>
  </si>
  <si>
    <t>M-ODC-C-288-PKT</t>
  </si>
  <si>
    <t>J-ODC-C-288-PKT</t>
  </si>
  <si>
    <t>Pengadaan dan pemasangan kabinet odc (outdoor) kap 288 core dengan space untuk spliter modular termasuk material adaptor sc, pigtail, ditempatkan pada 2 tiang besi 7m yang dilengkapi besi penyangga antar tiang dengan rangka besi odc dan bordes lantai kerja serta grounding 5m luas penampang minimal 25mm untuk penempatan kabel fo dan grounding 1 titik, menggunakan 1 buah riser pipe 2” panjang 3m termasuk handhole odc portable</t>
  </si>
  <si>
    <t>ODC-C-288-PKU</t>
  </si>
  <si>
    <t>M-ODC-C-288-PKU</t>
  </si>
  <si>
    <t>J-ODC-C-288-PKU</t>
  </si>
  <si>
    <t>Pengadaan dan pemasangan kabinet odc (outdoor) kap 288 core dengan space untuk spliter modular termasuk material adaptor sc, pigtail, ditempatkan pada 2 tiang besi 7m yang dilengkapi besi penyangga antar tiang dengan rangka besi odc dan bordes lantai kerja serta grounding 5m luas penampang minimal 25mm untuk penempatan kabel fo dan grounding 1 titik, menggunakan anchoring, span wartel dan slack support 2 buah</t>
  </si>
  <si>
    <t>ODC-C-48</t>
  </si>
  <si>
    <t>M-ODC-C-48</t>
  </si>
  <si>
    <t>J-ODC-C-48</t>
  </si>
  <si>
    <t>Pengadaan dan pemasangan odc-pole (outdoor) dengan space untuk spliter modular termasuk material adaptor sc kap 48 core, berikut pelabelan</t>
  </si>
  <si>
    <t>ODC-C-576</t>
  </si>
  <si>
    <t>M-ODC-C-576</t>
  </si>
  <si>
    <t>J-ODC-C-576</t>
  </si>
  <si>
    <t>Pengadaan dan pemasangan kabinet odc (outdoor) kap 576 core dengan space untuk spliter modular termasuk material adaptor sc, pigtail, pondasi berlapis keramik, lantai kerja keramik, patok pengaman (5 buah), berikut pelabelan</t>
  </si>
  <si>
    <t>ODC-C-96</t>
  </si>
  <si>
    <t>M-ODC-C-96</t>
  </si>
  <si>
    <t>J-ODC-C-96</t>
  </si>
  <si>
    <t>Pengadaan dan pemasangan kabinet odc (outdoor) kap 96 core dengan space untuk spliter modular termasuk material adaptor sc, pigtail, pondasi berlapis keramik, lantai kerja keramik, patok pengaman (5 buah), berikut pelabelan</t>
  </si>
  <si>
    <t>ODC-CATDDKKAB</t>
  </si>
  <si>
    <t>M-ODC-CATDDKKAB</t>
  </si>
  <si>
    <t>J-ODC-CATDDKKAB</t>
  </si>
  <si>
    <t>PENGECATAN DUDUKAN KABINET</t>
  </si>
  <si>
    <t>ODC-CATKABIJ-NET</t>
  </si>
  <si>
    <t>M-ODC-CATKABIJ-NET</t>
  </si>
  <si>
    <t>J-ODC-CATKABIJ-NET</t>
  </si>
  <si>
    <t>PENGECATAN ULANG KABINET ATAU ODC DAN LABELING</t>
  </si>
  <si>
    <t>ODC-GRD</t>
  </si>
  <si>
    <t>J-ODC-GRD</t>
  </si>
  <si>
    <t>ODC-LAB</t>
  </si>
  <si>
    <t>J-ODC-LAB</t>
  </si>
  <si>
    <t>ODC-LY</t>
  </si>
  <si>
    <t>J-ODC-LY</t>
  </si>
  <si>
    <t>ODC-MSR-CORE</t>
  </si>
  <si>
    <t>J-ODC-MSR-CORE</t>
  </si>
  <si>
    <t>ODC-ODP-ADAPT-STDR</t>
  </si>
  <si>
    <t>M-ODC-ODP-ADAPT-STDR</t>
  </si>
  <si>
    <t>J-ODC-ODP-ADAPT-STDR</t>
  </si>
  <si>
    <t>PENGADAAN/PENGGANTIAN ADAPTER SC PADA ODC DAN ODP BAHAN PLASTIK</t>
  </si>
  <si>
    <t>ODC-P-3-IN</t>
  </si>
  <si>
    <t>M-ODC-P-3-IN</t>
  </si>
  <si>
    <t>J-ODC-P-3-IN</t>
  </si>
  <si>
    <t>PENGADAAN DAN PEMASANGAN RISER PIPE UNTUK PENGAMAN KABEL OPTIK KE ODC POLE / TITIK NAIK KU DIAMATER 3 INCH PANJANG 3 METER</t>
  </si>
  <si>
    <t>ODC-P-4-IN</t>
  </si>
  <si>
    <t>M-ODC-P-4-IN</t>
  </si>
  <si>
    <t>J-ODC-P-4-IN</t>
  </si>
  <si>
    <t>PENGADAAN DAN PEMASANGAN RISER PIPE UNTUK PENGAMAN KABEL OPTIK KE ODC POLE / TITIK NAIK KU DIAMATER 4 INCH PANJANG 3 METER</t>
  </si>
  <si>
    <t>ODC-PC</t>
  </si>
  <si>
    <t>J-ODC-PC</t>
  </si>
  <si>
    <t>ODC-PP</t>
  </si>
  <si>
    <t>J-ODC-PP</t>
  </si>
  <si>
    <t>PEMBONGKARAN ODC KAP 144-288 BERIKUT PATOK PENGAMAN</t>
  </si>
  <si>
    <t>ODC-PROT-144</t>
  </si>
  <si>
    <t>M-ODC-PROT-144</t>
  </si>
  <si>
    <t>J-ODC-PROT-144</t>
  </si>
  <si>
    <t>Pengaman odc 144 (besi siku 4cmx4cmx4mm, besi beton 10mm (jarak antar besi beton 10cm, engsel besar, baut ram set 14mm dan kunci gembok 50mm</t>
  </si>
  <si>
    <t>ODC-PROT-288</t>
  </si>
  <si>
    <t>M-ODC-PROT-288</t>
  </si>
  <si>
    <t>J-ODC-PROT-288</t>
  </si>
  <si>
    <t>Pengaman odc 288 (besi siku 4cmx4cmx4mm, besi beton 10mm (jarak antar besi beton 10cm, engsel besar, baut ram set 14mm dan kunci gembok 50mm</t>
  </si>
  <si>
    <t>ODC-REP</t>
  </si>
  <si>
    <t>J-ODC-REP</t>
  </si>
  <si>
    <t>PENGGANTIAN ODC KONVENSIONAL DENGAN ODC SPLINTER</t>
  </si>
  <si>
    <t>ODC-SPLT</t>
  </si>
  <si>
    <t>J-ODC-SPLT</t>
  </si>
  <si>
    <t>PENGECEKAN DAN PEMELIHARAAN SPLITTER</t>
  </si>
  <si>
    <t>ODC-VA-PORT</t>
  </si>
  <si>
    <t>J-ODC-VA-PORT</t>
  </si>
  <si>
    <t>VALIDASI PORT ODC</t>
  </si>
  <si>
    <t>ODP Solid-PB-16 AS</t>
  </si>
  <si>
    <t>M-ODP Solid-PB-16 AS</t>
  </si>
  <si>
    <t>J-ODP Solid-PB-16 AS</t>
  </si>
  <si>
    <t>Pengadaan dan pemasangan ODP type SOLID Kap 16 core adaptor SC/UPC terdiri dari 2 Box Spliter (termasuk 2 spliter 1:8), beserta aksesoris ODP, berikut pelabelan dan penempelan QR code (disediakan oleh Telkom). Pemasangan ODP Pole dilengkapi dengan aksesoris instalasi yang terdiri dari 1 buah cooker (PVC 2 inch tipe AW sepanjang 1 meter) dan 2 buah klem (untuk penjepit cooker dan kabel)</t>
  </si>
  <si>
    <t>ODP Solid-PB-8 AS</t>
  </si>
  <si>
    <t>M-ODP Solid-PB-8 AS</t>
  </si>
  <si>
    <t>J-ODP Solid-PB-8 AS</t>
  </si>
  <si>
    <t>Pengadaan dan pemasangan ODP type SOLID Kap 8 core adaptor SC/UPC terdiri dari 1 Box Spliter (termasuk 1 spliter 1:8), 1 Box Dummy beserta Accessories, berikut pelabelan dan penempelan QR code (disediakan oleh Telkom). Pemasangan ODP Pole dilengkapi dengan aksesoris instalasi yang terdiri dari 1 buah cooker (PVC 2 inch tipe AW sepanjang 1 meter) dan 2 buah klem (untuk penjepit cooker dan kabel)</t>
  </si>
  <si>
    <t>ODP-CLEAN</t>
  </si>
  <si>
    <t>J-ODP-CLEAN</t>
  </si>
  <si>
    <t>PEMELIHARAAN/PERAPIHAN/PEMBERSIHAN/(CAT UTK DOME) LUAR-DALAM</t>
  </si>
  <si>
    <t>ODP-GRD</t>
  </si>
  <si>
    <t>J-ODP-GRD</t>
  </si>
  <si>
    <t>ODP-KEY</t>
  </si>
  <si>
    <t>M-ODP-KEY</t>
  </si>
  <si>
    <t>J-ODP-KEY</t>
  </si>
  <si>
    <t>PENGGANTIAN KUNCI ODP</t>
  </si>
  <si>
    <t>ODP-KLEM-COOKER</t>
  </si>
  <si>
    <t>M-ODP-KLEM-COOKER</t>
  </si>
  <si>
    <t>J-ODP-KLEM-COOKER</t>
  </si>
  <si>
    <t>KLEM COOCKER ODP SOLID</t>
  </si>
  <si>
    <t>ODP-KLEM-KU</t>
  </si>
  <si>
    <t>M-ODP-KLEM-KU</t>
  </si>
  <si>
    <t>J-ODP-KLEM-KU</t>
  </si>
  <si>
    <t>KLEM KABEL UDARA ODP SOLID</t>
  </si>
  <si>
    <t>ODP-LAB</t>
  </si>
  <si>
    <t>J-ODP-LAB</t>
  </si>
  <si>
    <t>PELABELAN NAMA ODP</t>
  </si>
  <si>
    <t>ODP-LABEL</t>
  </si>
  <si>
    <t>J-ODP-LABEL</t>
  </si>
  <si>
    <t>RE-LABELING ODP</t>
  </si>
  <si>
    <t>ODP-LBL-CORE</t>
  </si>
  <si>
    <t>J-ODP-LBL-CORE</t>
  </si>
  <si>
    <t>PELABELAN DROP CORE DI PORT SPLITTER</t>
  </si>
  <si>
    <t>ODP-RISE</t>
  </si>
  <si>
    <t>M-ODP-RISE</t>
  </si>
  <si>
    <t>J-ODP-RISE</t>
  </si>
  <si>
    <t>RISE PIPE (COOCKER) ODP SOLID</t>
  </si>
  <si>
    <t>ODP-SBK</t>
  </si>
  <si>
    <t>M-ODP-SBK</t>
  </si>
  <si>
    <t>J-ODP-SBK</t>
  </si>
  <si>
    <t>PENGADAAN DAN PEMASANGAN SABUK ODP</t>
  </si>
  <si>
    <t>ODP-SOLID-PB-16</t>
  </si>
  <si>
    <t>M-ODP-SOLID-PB-16</t>
  </si>
  <si>
    <t>J-ODP-SOLID-PB-16</t>
  </si>
  <si>
    <t>PENGADAAN DAN PEMASANGAN ODP TYPE SOLID KAP 16 CORE ADAPTOR SC/UPC TERDIRI DARI 2 BOX SPLITER (TERMASUK 2 SPLITER 1:8) BESERTA ACCESSORIES, BERIKUT PELABELANDAN PENEMPELAN QR CODE (DISEDIAKAN OLEH TELKOM)</t>
  </si>
  <si>
    <t>ODP-SOLID-PB-8</t>
  </si>
  <si>
    <t>M-ODP-SOLID-PB-8</t>
  </si>
  <si>
    <t>J-ODP-SOLID-PB-8</t>
  </si>
  <si>
    <t>PENGADAAN DAN PEMASANGAN ODP TYPE SOLID KAP 8 CORE ADAPTOR SC/UPC TERDIRI DARI 1 BOX SPLITER (TERMASUK 1 SPLITER 1:8), 1 BOX DUMMY BESERTA ACCESSORIES, BERIKUT PELABELAN DAN PENEMPELAN QR CODE (DISEDIAKAN OLEH TELKOM)</t>
  </si>
  <si>
    <t>ODP-SOLID-PL-16</t>
  </si>
  <si>
    <t>M-ODP-SOLID-PL-16</t>
  </si>
  <si>
    <t>J-ODP-SOLID-PL-16</t>
  </si>
  <si>
    <t>Pengadaan dan pemasangan odp ( pilar ) solid kap 16 core termasuk pigtail, berikut space 1 splitter (1:16), printing dan pelabelan penempelan qr code (qr code disediakan oleh telkom)</t>
  </si>
  <si>
    <t>ODP-SOLID-PL-8</t>
  </si>
  <si>
    <t>M-ODP-SOLID-PL-8</t>
  </si>
  <si>
    <t>J-ODP-SOLID-PL-8</t>
  </si>
  <si>
    <t>Pengadaan dan pemasangan odp ( pilar ) solid kap 8 core termasuk pigtail, berikut space 1 splitter (1:8), printing dan pelabelan penempelan qr code (qr code disediakan oleh telkom)</t>
  </si>
  <si>
    <t>ODP-SPL</t>
  </si>
  <si>
    <t>J-ODP-SPL</t>
  </si>
  <si>
    <t>ODP-TERM</t>
  </si>
  <si>
    <t>J-ODP-TERM</t>
  </si>
  <si>
    <t>PERAPIHAN TERMINASI ODP</t>
  </si>
  <si>
    <t>ODP-TIANG</t>
  </si>
  <si>
    <t>J-ODP-TIANG</t>
  </si>
  <si>
    <t>ODP-VA-PORT</t>
  </si>
  <si>
    <t>J-ODP-VA-PORT</t>
  </si>
  <si>
    <t>VALIDASI PORT ODP</t>
  </si>
  <si>
    <t>OS-SM-1</t>
  </si>
  <si>
    <t>J-OS-SM-1</t>
  </si>
  <si>
    <t>Penyambungan kabel optik single mode kap 1 core dengan cara fusion splice</t>
  </si>
  <si>
    <t>OTP</t>
  </si>
  <si>
    <t>M-OTP</t>
  </si>
  <si>
    <t>J-OTP</t>
  </si>
  <si>
    <t>PENGADAAN DAN PEMASANGAN OPTICAL TERMINATION POINT 1 CORE</t>
  </si>
  <si>
    <t>P-H-1</t>
  </si>
  <si>
    <t>J-P-H-1</t>
  </si>
  <si>
    <t>PEMBERSIHAN HANHOLE TYPE 1 (120 cm x 100 cm x 160 cm)</t>
  </si>
  <si>
    <t>P-H-2</t>
  </si>
  <si>
    <t>J-P-H-2</t>
  </si>
  <si>
    <t>PEMBERSIHAN HANHOLE TYPE 2 (180 cm x 100 cm x 160 cm )</t>
  </si>
  <si>
    <t>P-J-H1/H2</t>
  </si>
  <si>
    <t>J-P-J-H1/H2</t>
  </si>
  <si>
    <t>PEMBERSIHAN MANHOLE H1/H2</t>
  </si>
  <si>
    <t>P-J-H3/H4</t>
  </si>
  <si>
    <t>J-P-J-H3/H4</t>
  </si>
  <si>
    <t>PEMBERSIHAN MANHOLE H3/H4</t>
  </si>
  <si>
    <t>P-KB</t>
  </si>
  <si>
    <t>J-P-KB</t>
  </si>
  <si>
    <t>PEMBERSIHAN KABINET TERMASUK MODUL DAN PERKABELAN</t>
  </si>
  <si>
    <t>P-PK-RK</t>
  </si>
  <si>
    <t>J-P-PK-RK</t>
  </si>
  <si>
    <t>PERBAIKAN PONDASI DAN KERAMIK YANG RUSAK DI RK</t>
  </si>
  <si>
    <t>PB-TT-7/9</t>
  </si>
  <si>
    <t>J-PB-TT-7/9</t>
  </si>
  <si>
    <t>PEMBONGKARAN, PENGGESERAN DAN PEMASANGAN KEMBALI TIANG BESI 7 M DAN 9 M</t>
  </si>
  <si>
    <t>PC-APC-652-2</t>
  </si>
  <si>
    <t>M-PC-APC-652-2</t>
  </si>
  <si>
    <t>J-PC-APC-652-2</t>
  </si>
  <si>
    <t>Pengadaan dan pemasangan patch cord 2 meter, (fc/lc/sc-apc to fc/lc/sc-apc), g.652 d</t>
  </si>
  <si>
    <t>PC-APC-655-2</t>
  </si>
  <si>
    <t>M-PC-APC-655-2</t>
  </si>
  <si>
    <t>J-PC-APC-655-2</t>
  </si>
  <si>
    <t>Pengadaan dan pemasangan patch cord 2 meter, (fc/lc/sc-apc to fc/lc/sc-apc), g.655c</t>
  </si>
  <si>
    <t>PC-APC-657-2</t>
  </si>
  <si>
    <t>M-PC-APC-657-2</t>
  </si>
  <si>
    <t>J-PC-APC-657-2</t>
  </si>
  <si>
    <t>Pengadaan dan pemasangan patch cord 2 meter, (fc/lc/sc-apc to fc/lc/sc-apc), g.657</t>
  </si>
  <si>
    <t>PC-APC/UPC-652-A1</t>
  </si>
  <si>
    <t>M-PC-APC/UPC-652-A1</t>
  </si>
  <si>
    <t>J-PC-APC/UPC-652-A1</t>
  </si>
  <si>
    <t>Additional patch cord, g.652d</t>
  </si>
  <si>
    <t>PC-APC/UPC-655-A1</t>
  </si>
  <si>
    <t>M-PC-APC/UPC-655-A1</t>
  </si>
  <si>
    <t>J-PC-APC/UPC-655-A1</t>
  </si>
  <si>
    <t>Additional patch cord, g.655</t>
  </si>
  <si>
    <t>PC-APC/UPC-657-A1</t>
  </si>
  <si>
    <t>M-PC-APC/UPC-657-A1</t>
  </si>
  <si>
    <t>J-PC-APC/UPC-657-A1</t>
  </si>
  <si>
    <t>Additional patch cord, g.657</t>
  </si>
  <si>
    <t>PC-TT-7/9</t>
  </si>
  <si>
    <t>M-PC-TT-7/9</t>
  </si>
  <si>
    <t>J-PC-TT-7/9</t>
  </si>
  <si>
    <t>PENGECORAN TIANG TELEPON TUNGGAL 7 M DAN 9M</t>
  </si>
  <si>
    <t>PC-UPC-652-2</t>
  </si>
  <si>
    <t>M-PC-UPC-652-2</t>
  </si>
  <si>
    <t>J-PC-UPC-652-2</t>
  </si>
  <si>
    <t>Pengadaan dan pemasangan patch cord 2 meter, (fc/lc/sc-upc to fc/lc/sc-upc), g.652d</t>
  </si>
  <si>
    <t>PC-UPC-655-2</t>
  </si>
  <si>
    <t>M-PC-UPC-655-2</t>
  </si>
  <si>
    <t>J-PC-UPC-655-2</t>
  </si>
  <si>
    <t>Pengadaan dan pemasangan patch cord 2 meter, (fc/lc/sc-upc to fc/lc/sc-upc), g.655c</t>
  </si>
  <si>
    <t>PC-UPC-657-2</t>
  </si>
  <si>
    <t>M-PC-UPC-657-2</t>
  </si>
  <si>
    <t>J-PC-UPC-657-2</t>
  </si>
  <si>
    <t>Pengadaan dan pemasangan patch cord 2 meter, (fc/lc/sc-upc to fc/lc/sc-upc), g.657</t>
  </si>
  <si>
    <t>PIGTAIL</t>
  </si>
  <si>
    <t>M-PIGTAIL</t>
  </si>
  <si>
    <t>J-PIGTAIL</t>
  </si>
  <si>
    <t>PEKERJAAN MENYAMBUNGKAN KABEL OPTIK OUTDOOR KE INDOOR) PENGADAAN DAN PEMASANGAN PIGTAIL (SC/FC)</t>
  </si>
  <si>
    <t>PL-RING</t>
  </si>
  <si>
    <t>M-PL-RING</t>
  </si>
  <si>
    <t>J-PL-RING</t>
  </si>
  <si>
    <t>PENGADAAN DAN PEMASANGAN POLE STRAP RING</t>
  </si>
  <si>
    <t>PL-TYPE-J</t>
  </si>
  <si>
    <t>M-PL-TYPE-J</t>
  </si>
  <si>
    <t>J-PL-TYPE-J</t>
  </si>
  <si>
    <t>PENGADAAN DAN PEMASANGAN POLE STRAP TYPE J</t>
  </si>
  <si>
    <t>POLESTRAP SPIRAL</t>
  </si>
  <si>
    <t>M-POLESTRAP SPIRAL</t>
  </si>
  <si>
    <t>J-POLESTRAP SPIRAL</t>
  </si>
  <si>
    <t>PENGADAAN DAN PEMASANGAN AKSESORIS TIANG BESI POLESTRAP SPIRAL</t>
  </si>
  <si>
    <t>PONDASI-TYPE-D500</t>
  </si>
  <si>
    <t>M-PONDASI-TYPE-D500</t>
  </si>
  <si>
    <t>J-PONDASI-TYPE-D500</t>
  </si>
  <si>
    <t>PENGADAAN DAN PEMASANGAN PONDASI UNTUK KABINET OUTDOOR BESAR, SIDE WALK DAN PATOK PENGAMAN MENGACU PPJT JARLOKAT DAN SISTEM GROUNDING UNTUK PERANGKAT DAN SEALED MATERIAL (MAX. 1 OHM)</t>
  </si>
  <si>
    <t>PP-OF-IN</t>
  </si>
  <si>
    <t>M-PP-OF-IN</t>
  </si>
  <si>
    <t>J-PP-OF-IN</t>
  </si>
  <si>
    <t>Pengadaan dan pemasangan pipe protector indoor cable (pvc white) high impact conduit 20 mm</t>
  </si>
  <si>
    <t>PP-OF-OUT</t>
  </si>
  <si>
    <t>M-PP-OF-OUT</t>
  </si>
  <si>
    <t>J-PP-OF-OUT</t>
  </si>
  <si>
    <t>PENGADAAN DAN PEMASANGAN PIPE PROTECTOR OUTDOOR CABLE ( PVC BLACK) HIGH IMPACT CONDUIT 20 MM</t>
  </si>
  <si>
    <t>PR-IN-RS</t>
  </si>
  <si>
    <t>M-PR-IN-RS</t>
  </si>
  <si>
    <t>J-PR-IN-RS</t>
  </si>
  <si>
    <t>Pengadaaan dan Pemasangan Precon KSO Indoor Transparant Sudah Termasuk Roset</t>
  </si>
  <si>
    <t>Preliminary Project</t>
  </si>
  <si>
    <t>J-Preliminary Project</t>
  </si>
  <si>
    <t>Biaya-biaya yang timbul dalam rangka untuk perijinan dan kompensasi pekerjaan</t>
  </si>
  <si>
    <t>Lumpsum</t>
  </si>
  <si>
    <t>PROT-SLV</t>
  </si>
  <si>
    <t>M-PROT-SLV</t>
  </si>
  <si>
    <t>J-PROT-SLV</t>
  </si>
  <si>
    <t>PENGADAAN DAN PEMASANGAN PROTECTION SLEEVE 6MM, PANJANG 6CM</t>
  </si>
  <si>
    <t>PS-1-16-ODP</t>
  </si>
  <si>
    <t>M-PS-1-16-ODP</t>
  </si>
  <si>
    <t>J-PS-1-16-ODP</t>
  </si>
  <si>
    <t>Pengadaan dan pemasangan passive splitter 1:16, type modular sc/upc, for odp, termasuk pigtail</t>
  </si>
  <si>
    <t>PS-1-16-ODP-S</t>
  </si>
  <si>
    <t>M-PS-1-16-ODP-S</t>
  </si>
  <si>
    <t>J-PS-1-16-ODP-S</t>
  </si>
  <si>
    <t>Pengadaan dan pemasangan passive splitter solid 1:16, type solid sc/upc, for odp, termasuk pigtail</t>
  </si>
  <si>
    <t>PS-1-2-ODC</t>
  </si>
  <si>
    <t>M-PS-1-2-ODC</t>
  </si>
  <si>
    <t>J-PS-1-2-ODC</t>
  </si>
  <si>
    <t>Pengadaan dan pemasangan passive splitter 1:2, type modular sc/upc, for odc, termasuk pigtail</t>
  </si>
  <si>
    <t>PS-1-32-ODX</t>
  </si>
  <si>
    <t>M-PS-1-32-ODX</t>
  </si>
  <si>
    <t>J-PS-1-32-ODX</t>
  </si>
  <si>
    <t>Pengadaan dan pemasangan passive splitter 1:32, type modular sc/upc, for odc/odp, termasuk pigtail</t>
  </si>
  <si>
    <t>PS-1-4-ODC</t>
  </si>
  <si>
    <t>M-PS-1-4-ODC</t>
  </si>
  <si>
    <t>J-PS-1-4-ODC</t>
  </si>
  <si>
    <t>Pengadaan dan pemasangan passive splitter 1:4, type modular sc/upc, for odc, termasuk pigtail</t>
  </si>
  <si>
    <t>PS-1-8-ODP</t>
  </si>
  <si>
    <t>M-PS-1-8-ODP</t>
  </si>
  <si>
    <t>J-PS-1-8-ODP</t>
  </si>
  <si>
    <t>Pengadaan dan pemasangan Passive Splitter 1:8, type modular SC/UPC, for ODP, termasuk pigtail</t>
  </si>
  <si>
    <t>PS-1-8-ODX</t>
  </si>
  <si>
    <t>M-PS-1-8-ODX</t>
  </si>
  <si>
    <t>J-PS-1-8-ODX</t>
  </si>
  <si>
    <t>Pengadaan dan pemasangan passive splitter 1:8, type modular sc/upc, for odp/odc, termasuk pigtail</t>
  </si>
  <si>
    <t>PS-1-8-ODX-S</t>
  </si>
  <si>
    <t>M-PS-1-8-ODX-S</t>
  </si>
  <si>
    <t>J-PS-1-8-ODX-S</t>
  </si>
  <si>
    <t>Pengadaan dan pemasangan passive splitter solid 1:8, type solid sc/upc, for odp, termasuk pigtail</t>
  </si>
  <si>
    <t>PS-2-2-ODC</t>
  </si>
  <si>
    <t>M-PS-2-2-ODC</t>
  </si>
  <si>
    <t>J-PS-2-2-ODC</t>
  </si>
  <si>
    <t>Pengadaan dan pemasangan passive splitter 2:2, type modular sc/upc, for odc, termasuk pigtail</t>
  </si>
  <si>
    <t>PS-2-4-ODC</t>
  </si>
  <si>
    <t>M-PS-2-4-ODC</t>
  </si>
  <si>
    <t>J-PS-2-4-ODC</t>
  </si>
  <si>
    <t>Pengadaan dan pemasangan passive splitter 2:4, type modular sc/upc, for odc, termasuk pigtail</t>
  </si>
  <si>
    <t>PS-2-8-ODX</t>
  </si>
  <si>
    <t>M-PS-2-8-ODX</t>
  </si>
  <si>
    <t>J-PS-2-8-ODX</t>
  </si>
  <si>
    <t>Pengadaan dan pemasangan passive splitter 2:8, type modular sc/upc, for odc, termasuk pigtail</t>
  </si>
  <si>
    <t>PT-TT-7</t>
  </si>
  <si>
    <t>M-PT-TT-7</t>
  </si>
  <si>
    <t>J-PT-TT-7</t>
  </si>
  <si>
    <t>PENGECATAN TIANG TELEPON TUNGGAL 7 M DAN 9 M</t>
  </si>
  <si>
    <t>PT-TUNJANG</t>
  </si>
  <si>
    <t>J-PT-TUNJANG</t>
  </si>
  <si>
    <t>PEMASANGAN TEMBERANG TUNJANG</t>
  </si>
  <si>
    <t>PU-AS-DE-50/70</t>
  </si>
  <si>
    <t>M-PU-AS-DE-50/70</t>
  </si>
  <si>
    <t>J-PU-AS-DE-50/70</t>
  </si>
  <si>
    <t>Pengadaan dan Pemasangan Aksesoris Tiang Helical Dead-End Clamp untuk Kabel ADSS ukuran 50/70</t>
  </si>
  <si>
    <t>PU-AS-HL</t>
  </si>
  <si>
    <t>M-PU-AS-HL</t>
  </si>
  <si>
    <t>J-PU-AS-HL</t>
  </si>
  <si>
    <t>Pengadaan dan Pemasangan Aksesoris Tiang Helical Performed Grip untuk Kabel ADSS</t>
  </si>
  <si>
    <t>PU-AS-SC</t>
  </si>
  <si>
    <t>M-PU-AS-SC</t>
  </si>
  <si>
    <t>J-PU-AS-SC</t>
  </si>
  <si>
    <t>Pengadaan dan Pemasangan Aksesoris Tiang Suspension Clamp Corong untuk Kabel ADSS</t>
  </si>
  <si>
    <t>PU-C7.0-150</t>
  </si>
  <si>
    <t>M-PU-C7.0-150</t>
  </si>
  <si>
    <t>J-PU-C7.0-150</t>
  </si>
  <si>
    <t>Pengadaan dan Pemasangan Tiang Beton 7 Meter dengan Kekuatan Tarik 150 Kg</t>
  </si>
  <si>
    <t>PU-C9.0-150</t>
  </si>
  <si>
    <t>M-PU-C9.0-150</t>
  </si>
  <si>
    <t>J-PU-C9.0-150</t>
  </si>
  <si>
    <t>Pengadaan dan Pemasangan Tiang Beton 9 Meter dengan Kekuatan Tarik 150 Kg</t>
  </si>
  <si>
    <t>PU-G6-2,5</t>
  </si>
  <si>
    <t>M-PU-G6-2,5</t>
  </si>
  <si>
    <t>J-PU-G6-2,5</t>
  </si>
  <si>
    <t>PENGADAAN DAN PEMASANGAN TIANG BESI GALVANIZED MEDIUM DIAMETER 2,5 INCH PANJANG 6 METER, BERIKUT CAT, COR PONDASI ATAU KLEM TUMPUAN KE DINDING TAMBATAN BESERTA MUR MAUT YANG SESUAI LENGKAP</t>
  </si>
  <si>
    <t>PU-G6-3</t>
  </si>
  <si>
    <t>M-PU-G6-3</t>
  </si>
  <si>
    <t>J-PU-G6-3</t>
  </si>
  <si>
    <t>PENGADAAN DAN PEMASANGAN TIANG BESI GALVANIZED MEDIUM DIAMETER 3 INCH PANJANG 6 METER, BERIKUT CAT, COR PONDASI ATAU KLEM TUMPUAN KE DINDING TAMBATAN BESERTA MUR MAUT YANG SESUAI LENGKAP</t>
  </si>
  <si>
    <t>PU-G6.0-35kg</t>
  </si>
  <si>
    <t>M-PU-G6.0-35kg</t>
  </si>
  <si>
    <t>J-PU-G6.0-35kg</t>
  </si>
  <si>
    <t>Pengadaen den Pemasangan Tieng Besl Galvanls 6m tanpa sambungan, berlkut cat dan cor pondesl (1:2:3) dengan kekuetan tank 35kg</t>
  </si>
  <si>
    <t>PU-S7.0-140</t>
  </si>
  <si>
    <t>M-PU-S7.0-140</t>
  </si>
  <si>
    <t>J-PU-S7.0-140</t>
  </si>
  <si>
    <t>Pengadaan dan pemasangan tiang besi 7 meter, berikut cat &amp; cor pondasi dan assesories dengan kekuatan tarik 140 kg</t>
  </si>
  <si>
    <t>PU-S7.0-400NM</t>
  </si>
  <si>
    <t>M-PU-S7.0-400NM</t>
  </si>
  <si>
    <t>J-PU-S7.0-400NM</t>
  </si>
  <si>
    <t>Pengadaan dan Pemasangan Tiang Besi Telekomunikasi 7 Meter dengan 2 Segmen untuk Kabel Distribusi berikut Cat &amp; Cor Pondasi (1:2:3) dengan Kekuatan Tarik 400 Newton Meter</t>
  </si>
  <si>
    <t>PU-S9.0-140</t>
  </si>
  <si>
    <t>M-PU-S9.0-140</t>
  </si>
  <si>
    <t>J-PU-S9.0-140</t>
  </si>
  <si>
    <t>Pengadaan dan pemasangan tiang besi 9 meter, berikut cat &amp; cor dan assesories dengan kekuatan tarik 140 kg</t>
  </si>
  <si>
    <t>PU-W7</t>
  </si>
  <si>
    <t>M-PU-W7</t>
  </si>
  <si>
    <t>J-PU-W7</t>
  </si>
  <si>
    <t>Pengadaan dan Pemasangan Tiang Kayu Keras setara ULIN panjang 7 meter tebal 8 cm x 8 cm Full (modifikasi sambungan dengan system klem kayu + mur baut), berikut cat, cor pondasi atau kayu klem tumpuan ke dinding tambatan menggunakan kayu beserta mur baut yang sesuai lengkap dengan assesories</t>
  </si>
  <si>
    <t>Rak Pasif spliter 1:4</t>
  </si>
  <si>
    <t>M-Rak Pasif spliter 1:4</t>
  </si>
  <si>
    <t>J-Rak Pasif spliter 1:4</t>
  </si>
  <si>
    <t>19 inch 24 core Pull type optical fiber distribution frame 24 port Rack Mounted Indoor fiber patch panel, Include RS232 Passive Splitter Rackmount Chassis - 2U</t>
  </si>
  <si>
    <t>RENT-BMN</t>
  </si>
  <si>
    <t>J-RENT-BMN</t>
  </si>
  <si>
    <t>Biaya-biaya yang timbul dalam rangka sewa lahan untuk penempatan Alpro Telkom di lahan milik negara</t>
  </si>
  <si>
    <t>RENT-IBT</t>
  </si>
  <si>
    <t>J-RENT-IBT</t>
  </si>
  <si>
    <t>Biaya-biaya yang timbul dalam rangka sewa lahan untuk penempatan Alpro Telkom di polongan atau lahan pihak ketiga</t>
  </si>
  <si>
    <t>RGL-DC</t>
  </si>
  <si>
    <t>J-RGL-DC</t>
  </si>
  <si>
    <t>REGEL DROP CORE</t>
  </si>
  <si>
    <t>RGL-KU-FO-48-96</t>
  </si>
  <si>
    <t>J-RGL-KU-FO-48-96</t>
  </si>
  <si>
    <t>REGEL KABEL UDARA FIBER OPTIK KAPASITAS 48-96 CORE</t>
  </si>
  <si>
    <t>RGL-KU-FO-6-24</t>
  </si>
  <si>
    <t>J-RGL-KU-FO-6-24</t>
  </si>
  <si>
    <t>REGEL KABEL UDARA FIBER OPTIK KAPASITAS 6-24 CORE</t>
  </si>
  <si>
    <t>RK-DUDUKKAB</t>
  </si>
  <si>
    <t>J-RK-DUDUKKAB</t>
  </si>
  <si>
    <t>PERBAIKAN BETON DUDUKAN KABINET</t>
  </si>
  <si>
    <t>RK-GRD</t>
  </si>
  <si>
    <t>J-RK-GRD</t>
  </si>
  <si>
    <t>PEMELIHARAAN/PENGUKURAN GROUNDING RK/NODE</t>
  </si>
  <si>
    <t>RK-LY</t>
  </si>
  <si>
    <t>J-RK-LY</t>
  </si>
  <si>
    <t>RK-PATOK</t>
  </si>
  <si>
    <t>J-RK-PATOK</t>
  </si>
  <si>
    <t>PERBAIKAN PATOK BERIKUT CAT ULANG</t>
  </si>
  <si>
    <t>RP-GJ-1,25</t>
  </si>
  <si>
    <t>M-RP-GJ-1,25</t>
  </si>
  <si>
    <t>J-RP-GJ-1,25</t>
  </si>
  <si>
    <t>RISER PIPA 1,25" GALVANIS MEDIUM UTK KABEL TURUN/NAIK CATUAN KT/KU PADA TIANG/DINDING</t>
  </si>
  <si>
    <t>RP-GJ-1,50</t>
  </si>
  <si>
    <t>M-RP-GJ-1,50</t>
  </si>
  <si>
    <t>J-RP-GJ-1,50</t>
  </si>
  <si>
    <t>RISER PIPA 1,50" GALVANIS MEDIUM UTK KABEL TURUN/NAIK CATUAN KT/KU PADA TIANG/DINDING</t>
  </si>
  <si>
    <t>RP-GJ-2</t>
  </si>
  <si>
    <t>M-RP-GJ-2</t>
  </si>
  <si>
    <t>J-RP-GJ-2</t>
  </si>
  <si>
    <t>RISER PIPA 2,00" GALVANIS MEDIUM UTK KABEL TURUN/NAIK CATUAN KT/KU PADA TIANG/DINDING</t>
  </si>
  <si>
    <t>S-CLAMP</t>
  </si>
  <si>
    <t>M-S-CLAMP</t>
  </si>
  <si>
    <t>J-S-CLAMP</t>
  </si>
  <si>
    <t>S-CLAMP PADA TIANG</t>
  </si>
  <si>
    <t>SC-OF-SM-144</t>
  </si>
  <si>
    <t>M-SC-OF-SM-144</t>
  </si>
  <si>
    <t>J-SC-OF-SM-144</t>
  </si>
  <si>
    <t>Pengadaan dan pemasangan alat sambung (cabang/ lurus) untuk fiber optik kapasitas 12 - 144 core</t>
  </si>
  <si>
    <t>SC-OF-SM-24</t>
  </si>
  <si>
    <t>M-SC-OF-SM-24</t>
  </si>
  <si>
    <t>J-SC-OF-SM-24</t>
  </si>
  <si>
    <t>Pengadaan dan pemasangan alat sambung (cabang/ lurus) untuk fiber optik kapasitas 12 - 24 core</t>
  </si>
  <si>
    <t>SC-OF-SM-288</t>
  </si>
  <si>
    <t>M-SC-OF-SM-288</t>
  </si>
  <si>
    <t>J-SC-OF-SM-288</t>
  </si>
  <si>
    <t>Pengadaan dan pemasangan alat sambung (cabang/ lurus) untuk fiber optik kapasitas 12 - 288 core</t>
  </si>
  <si>
    <t>SC-OF-SM-48</t>
  </si>
  <si>
    <t>M-SC-OF-SM-48</t>
  </si>
  <si>
    <t>J-SC-OF-SM-48</t>
  </si>
  <si>
    <t>Pengadaan dan pemasangan alat sambung (cabang/ lurus) untuk fiber optik kapasitas 12 - 48 core</t>
  </si>
  <si>
    <t>SC-OF-SM-96</t>
  </si>
  <si>
    <t>M-SC-OF-SM-96</t>
  </si>
  <si>
    <t>J-SC-OF-SM-96</t>
  </si>
  <si>
    <t>Pengadaan dan pemasangan alat sambung (cabang/ lurus) untuk fiber optik kapasitas 12 - 96 core</t>
  </si>
  <si>
    <t>SITAC ODC</t>
  </si>
  <si>
    <t>J-SITAC ODC</t>
  </si>
  <si>
    <t>Akuisisi lahan sitac odc</t>
  </si>
  <si>
    <t>Slack Support Chamber</t>
  </si>
  <si>
    <t>M-Slack Support Chamber</t>
  </si>
  <si>
    <t>J-Slack Support Chamber</t>
  </si>
  <si>
    <t>Pengadaan dan Pemasangan Slack include sabuk ukuran dimensi dalam (P x L = 120cm x 120cm)</t>
  </si>
  <si>
    <t>Slack Support HH</t>
  </si>
  <si>
    <t>M-Slack Support HH</t>
  </si>
  <si>
    <t>J-Slack Support HH</t>
  </si>
  <si>
    <t>Pengadaan dan Pemasangan Slack include sabuk ukuran dimensi dalam (P x L = 80cm x 80cm)</t>
  </si>
  <si>
    <t>SLACK-SUPP</t>
  </si>
  <si>
    <t>M-SLACK-SUPP</t>
  </si>
  <si>
    <t>J-SLACK-SUPP</t>
  </si>
  <si>
    <t>PENGADAAN SLACK SUPPORT</t>
  </si>
  <si>
    <t>SMD-ABS-2A</t>
  </si>
  <si>
    <t>M-SMD-ABS-2A</t>
  </si>
  <si>
    <t>J-SMD-ABS-2A</t>
  </si>
  <si>
    <t>Pengadaan dan pemasangan Alat Sambung Micro Duct cabang / lurus 2 cabang,termasuk gas block (seal).</t>
  </si>
  <si>
    <t>SMD-ABS-3A</t>
  </si>
  <si>
    <t>M-SMD-ABS-3A</t>
  </si>
  <si>
    <t>J-SMD-ABS-3A</t>
  </si>
  <si>
    <t>Pengadaan dan pemasangan Alat Sambung Micro Duct cabang / lurus 3 cabang,termasuk gas block (seal).</t>
  </si>
  <si>
    <t>SMD-ABS-4A</t>
  </si>
  <si>
    <t>M-SMD-ABS-4A</t>
  </si>
  <si>
    <t>J-SMD-ABS-4A</t>
  </si>
  <si>
    <t>Pengadaan dan pemasangan Alat Sambung Micro Duct cabang / lurus 4 cabang,termasuk gas block (seal).</t>
  </si>
  <si>
    <t>SMD-ABS-6A</t>
  </si>
  <si>
    <t>M-SMD-ABS-6A</t>
  </si>
  <si>
    <t>J-SMD-ABS-6A</t>
  </si>
  <si>
    <t>Pengadaan dan pemasangan Alat Sambung Micro Duct cabang / lurus 6 cabang,termasuk gas block (seal).</t>
  </si>
  <si>
    <t>STAINLESS BELT</t>
  </si>
  <si>
    <t>M-STAINLESS BELT</t>
  </si>
  <si>
    <t>J-STAINLESS BELT</t>
  </si>
  <si>
    <t>PENGADAAN DAN PEMASANGAN AKSESORIS TIANG BESI STAINLESS BELT</t>
  </si>
  <si>
    <t>Survey PT2</t>
  </si>
  <si>
    <t>J-Survey PT2</t>
  </si>
  <si>
    <t>Checking Availability core di ODP eksisting</t>
  </si>
  <si>
    <t>SUS-CAP</t>
  </si>
  <si>
    <t>M-SUS-CAP</t>
  </si>
  <si>
    <t>J-SUS-CAP</t>
  </si>
  <si>
    <t>SUSPENSION CAPIT</t>
  </si>
  <si>
    <t>SUSPENSION AYUN</t>
  </si>
  <si>
    <t>M-SUSPENSION AYUN</t>
  </si>
  <si>
    <t>J-SUSPENSION AYUN</t>
  </si>
  <si>
    <t>PENGADAAN DAN PEMASANGAN AKSESORIS TIANG BESI SUSPENSION AYUN</t>
  </si>
  <si>
    <t>SW-BG-3/8"</t>
  </si>
  <si>
    <t>M-SW-BG-3/8"</t>
  </si>
  <si>
    <t>J-SW-BG-3/8"</t>
  </si>
  <si>
    <t>SPAN WARTEL DAN BULDOG GRIP 3/8"</t>
  </si>
  <si>
    <t>SW-BG-5/8"</t>
  </si>
  <si>
    <t>M-SW-BG-5/8"</t>
  </si>
  <si>
    <t>J-SW-BG-5/8"</t>
  </si>
  <si>
    <t>SPAN WARTEL DAN BULDOG GRIP 5/8"</t>
  </si>
  <si>
    <t>T-ROUTE-KABEL</t>
  </si>
  <si>
    <t>M-T-ROUTE-KABEL</t>
  </si>
  <si>
    <t>J-T-ROUTE-KABEL</t>
  </si>
  <si>
    <t>PEMBUATAN / PEMASANGAN TANDA ROUTE KABEL</t>
  </si>
  <si>
    <t>TC-02-ODC</t>
  </si>
  <si>
    <t>M-TC-02-ODC</t>
  </si>
  <si>
    <t>J-TC-02-ODC</t>
  </si>
  <si>
    <t>Pengadaan dan pemasangan riser pipe untuk pengaman kabel optik ke odc pole / titik naik ku diamater 2 inch panjang 3 meter</t>
  </si>
  <si>
    <t>TC-2</t>
  </si>
  <si>
    <t>M-TC-2</t>
  </si>
  <si>
    <t>J-TC-2</t>
  </si>
  <si>
    <t>Tray Cable TC-2</t>
  </si>
  <si>
    <t>TC-IN</t>
  </si>
  <si>
    <t>M-TC-IN</t>
  </si>
  <si>
    <t>J-TC-IN</t>
  </si>
  <si>
    <t>TRAY CABLE MAKSIMAL 10 X 5CM DI SISI OFFICE SESUAI SPACE RUANGAN</t>
  </si>
  <si>
    <t>TC-SM-12</t>
  </si>
  <si>
    <t>M-TC-SM-12</t>
  </si>
  <si>
    <t>J-TC-SM-12</t>
  </si>
  <si>
    <t>TC-SM-144</t>
  </si>
  <si>
    <t>M-TC-SM-144</t>
  </si>
  <si>
    <t>J-TC-SM-144</t>
  </si>
  <si>
    <t>Pengadaan dan Pemasangan OTB Single Mode kapasitas 144 core (tidak termasuk terminasi), Adapter (SC Connector), pigtail dan protection sleeve pada cassette/box</t>
  </si>
  <si>
    <t>TC-SM-24</t>
  </si>
  <si>
    <t>M-TC-SM-24</t>
  </si>
  <si>
    <t>J-TC-SM-24</t>
  </si>
  <si>
    <t>Pengadaan dan pemasangan otb termasuk terminasi dan penyambungan kabel optik single mode kap 24 core serta adapter (sc connector), pigtail dan protection sleeve pada cassette/box</t>
  </si>
  <si>
    <t>TC-SM-48</t>
  </si>
  <si>
    <t>M-TC-SM-48</t>
  </si>
  <si>
    <t>J-TC-SM-48</t>
  </si>
  <si>
    <t>Pengadaan dan pemasangan otb termasuk terminasi dan penyambungan kabel optik single mode kap 48 core serta adapter (sc connector), pigtail dan protection sleeve pada cassette/box</t>
  </si>
  <si>
    <t>TC-SM-96</t>
  </si>
  <si>
    <t>M-TC-SM-96</t>
  </si>
  <si>
    <t>J-TC-SM-96</t>
  </si>
  <si>
    <t>Pengadaan dan pemasangan otb termasuk terminasi dan penyambungan kabel optik single mode kap 96 core serta adapter (sc connector), pigtail dan protection sleeve pada cassette/box</t>
  </si>
  <si>
    <t>TRAY-BUNDLED-OUT-30</t>
  </si>
  <si>
    <t>M-TRAY-BUNDLED-OUT-30</t>
  </si>
  <si>
    <t>J-TRAY-BUNDLED-OUT-30</t>
  </si>
  <si>
    <t>TRAY CABLE FO CORD BUNDLED OUTDOOR 30X10 CM LENGKAP DENGAN PENGUAT</t>
  </si>
  <si>
    <t>TRAY-FEEDER-30</t>
  </si>
  <si>
    <t>M-TRAY-FEEDER-30</t>
  </si>
  <si>
    <t>J-TRAY-FEEDER-30</t>
  </si>
  <si>
    <t>TRAY CABLE FEEDER OUTDOOR 30X10 CM LENGKAP DENGAN PENGUAT</t>
  </si>
  <si>
    <t>TRAY-MESH-2</t>
  </si>
  <si>
    <t>M-TRAY-MESH-2</t>
  </si>
  <si>
    <t>J-TRAY-MESH-2</t>
  </si>
  <si>
    <t>WIRE MESH CABLE TRAY 20 X 10 CM, DENGAN SUPPORTING MATERIAL</t>
  </si>
  <si>
    <t>TRAY-MESH-3</t>
  </si>
  <si>
    <t>M-TRAY-MESH-3</t>
  </si>
  <si>
    <t>J-TRAY-MESH-3</t>
  </si>
  <si>
    <t>WIRE MESH CABLE TRAY 30 X 10 CM, DENGAN SUPPORTING MATERIAL</t>
  </si>
  <si>
    <t>TRAY-MESH-4</t>
  </si>
  <si>
    <t>M-TRAY-MESH-4</t>
  </si>
  <si>
    <t>J-TRAY-MESH-4</t>
  </si>
  <si>
    <t>WIRE MESH CABLE TRAY 40 X 10 CM, DENGAN SUPPORTING MATERIAL</t>
  </si>
  <si>
    <t>Tray-Mesh-PVC</t>
  </si>
  <si>
    <t>M-Tray-Mesh-PVC</t>
  </si>
  <si>
    <t>J-Tray-Mesh-PVC</t>
  </si>
  <si>
    <t>Pengadaan dan pemasangan tray PVC wiring duct 45x65mm yang digunakan untuk jalur penarikan kabel fiber optik</t>
  </si>
  <si>
    <t>TRIMBEL</t>
  </si>
  <si>
    <t>M-TRIMBEL</t>
  </si>
  <si>
    <t>J-TRIMBEL</t>
  </si>
  <si>
    <t>AKSESORIS TIANG BESI TRIMBEL</t>
  </si>
  <si>
    <t>TTP-MH</t>
  </si>
  <si>
    <t>M-TTP-MH</t>
  </si>
  <si>
    <t>J-TTP-MH</t>
  </si>
  <si>
    <t>PENGGANTIAN TUTUP MH (95cm x 95 cm) BETON</t>
  </si>
  <si>
    <t>UTP-6</t>
  </si>
  <si>
    <t>M-UTP-6</t>
  </si>
  <si>
    <t>J-UTP-6</t>
  </si>
  <si>
    <t>Material kabel UTP CAT 6</t>
  </si>
  <si>
    <t>VSS-90-2</t>
  </si>
  <si>
    <t>M-VSS-90-2</t>
  </si>
  <si>
    <t>J-VSS-90-2</t>
  </si>
  <si>
    <t>VERTICAL SUPPORT STRUCTURE ROD (2M) MAKSIMAL SEPASANG (KIRI-KANAN), DENGAN KIT INSTALASI (TIAP 90CM)</t>
  </si>
  <si>
    <t>WSM-PHK3</t>
  </si>
  <si>
    <t>J-WSM-PHK3</t>
  </si>
  <si>
    <t>PEKERJAAN PENGAWASAN DAN PENGAMANAN UNTUK PROJECT PIHAK KETIGA (INSTALASI LAIN) YANG BERPOTENSI MEMBERIKAN DAMPAK GANGGUAN PADA ALPRO TELKOM</t>
  </si>
  <si>
    <t>Mandays</t>
  </si>
  <si>
    <t>MANDOR</t>
  </si>
  <si>
    <t>SWAKELOLA</t>
  </si>
  <si>
    <t>PRELIM</t>
  </si>
  <si>
    <t>NEGO</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</si>
</sst>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176" formatCode="_(* #,##0.00_);_(* \(#,##0.00\);_(* &quot;-&quot;??_);_(@_)"/>
    <numFmt numFmtId="177" formatCode="_-&quot;Rp&quot;* #,##0.00_-;\-&quot;Rp&quot;* #,##0.00_-;_-&quot;Rp&quot;* &quot;-&quot;??_-;_-@_-"/>
    <numFmt numFmtId="178" formatCode="_(* #,##0_);_(* \(#,##0\);_(* &quot;-&quot;_);_(@_)"/>
    <numFmt numFmtId="179" formatCode="_-&quot;Rp&quot;* #,##0_-;\-&quot;Rp&quot;* #,##0_-;_-&quot;Rp&quot;* &quot;-&quot;??_-;_-@_-"/>
    <numFmt numFmtId="180" formatCode="_-* #,##0.00_-;\-* #,##0.00_-;_-* &quot;-&quot;??_-;_-@_-"/>
    <numFmt numFmtId="181" formatCode="_(* #,##0_);_(* \(#,##0\);_(* &quot;-&quot;??_);_(@_)"/>
    <numFmt numFmtId="182" formatCode="&quot;Rp&quot;#,##0;\-&quot;Rp&quot;#,##0"/>
  </numFmts>
  <fonts count="32">
    <font>
      <sz val="11"/>
      <color theme="1"/>
      <name val="Calibri"/>
      <charset val="134"/>
      <scheme val="minor"/>
    </font>
    <font>
      <sz val="11"/>
      <color theme="1"/>
      <name val="Calibri"/>
      <charset val="1"/>
      <scheme val="minor"/>
    </font>
    <font>
      <b/>
      <sz val="11"/>
      <color theme="1"/>
      <name val="Calibri"/>
      <charset val="134"/>
      <scheme val="minor"/>
    </font>
    <font>
      <b/>
      <sz val="12"/>
      <name val="Calibri"/>
      <charset val="134"/>
    </font>
    <font>
      <b/>
      <sz val="10"/>
      <name val="Arial"/>
      <charset val="134"/>
    </font>
    <font>
      <sz val="10"/>
      <name val="Arial"/>
      <charset val="134"/>
    </font>
    <font>
      <sz val="10"/>
      <color rgb="FF000000"/>
      <name val="Calibri"/>
      <charset val="134"/>
    </font>
    <font>
      <sz val="9"/>
      <color theme="1"/>
      <name val="Calibri"/>
      <charset val="134"/>
      <scheme val="minor"/>
    </font>
    <font>
      <b/>
      <sz val="9"/>
      <color theme="0"/>
      <name val="Arial"/>
      <charset val="134"/>
    </font>
    <font>
      <sz val="11"/>
      <color rgb="FFFF0000"/>
      <name val="Arial"/>
      <charset val="134"/>
    </font>
    <font>
      <b/>
      <sz val="9"/>
      <color theme="0"/>
      <name val="Calibri"/>
      <charset val="134"/>
      <scheme val="minor"/>
    </font>
    <font>
      <sz val="9"/>
      <color theme="0"/>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11"/>
      <color indexed="8"/>
      <name val="Calibri"/>
      <charset val="134"/>
    </font>
  </fonts>
  <fills count="41">
    <fill>
      <patternFill patternType="none"/>
    </fill>
    <fill>
      <patternFill patternType="gray125"/>
    </fill>
    <fill>
      <patternFill patternType="solid">
        <fgColor theme="9" tint="0.799981688894314"/>
        <bgColor rgb="FFFBDAD7"/>
      </patternFill>
    </fill>
    <fill>
      <patternFill patternType="solid">
        <fgColor theme="7" tint="0.799981688894314"/>
        <bgColor indexed="64"/>
      </patternFill>
    </fill>
    <fill>
      <patternFill patternType="solid">
        <fgColor theme="9" tint="0.799981688894314"/>
        <bgColor indexed="64"/>
      </patternFill>
    </fill>
    <fill>
      <patternFill patternType="solid">
        <fgColor theme="7" tint="0.799981688894314"/>
        <bgColor rgb="FFFBDAD7"/>
      </patternFill>
    </fill>
    <fill>
      <patternFill patternType="solid">
        <fgColor theme="0" tint="-0.349986266670736"/>
        <bgColor indexed="64"/>
      </patternFill>
    </fill>
    <fill>
      <patternFill patternType="solid">
        <fgColor theme="0" tint="-0.349986266670736"/>
        <bgColor rgb="FFFBDAD7"/>
      </patternFill>
    </fill>
    <fill>
      <patternFill patternType="solid">
        <fgColor theme="0" tint="-0.249977111117893"/>
        <bgColor indexed="64"/>
      </patternFill>
    </fill>
    <fill>
      <patternFill patternType="solid">
        <fgColor theme="0"/>
        <bgColor indexed="64"/>
      </patternFill>
    </fill>
    <fill>
      <patternFill patternType="solid">
        <fgColor rgb="FFFFFF00"/>
        <bgColor indexed="64"/>
      </patternFill>
    </fill>
    <fill>
      <patternFill patternType="solid">
        <fgColor rgb="FF00206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4">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2">
    <xf numFmtId="0" fontId="0" fillId="0" borderId="0">
      <alignment vertical="center"/>
    </xf>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0" fillId="12" borderId="6" applyNumberFormat="0" applyFont="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7" applyNumberFormat="0" applyFill="0" applyAlignment="0" applyProtection="0">
      <alignment vertical="center"/>
    </xf>
    <xf numFmtId="0" fontId="18" fillId="0" borderId="7" applyNumberFormat="0" applyFill="0" applyAlignment="0" applyProtection="0">
      <alignment vertical="center"/>
    </xf>
    <xf numFmtId="0" fontId="19" fillId="0" borderId="8" applyNumberFormat="0" applyFill="0" applyAlignment="0" applyProtection="0">
      <alignment vertical="center"/>
    </xf>
    <xf numFmtId="0" fontId="19" fillId="0" borderId="0" applyNumberFormat="0" applyFill="0" applyBorder="0" applyAlignment="0" applyProtection="0">
      <alignment vertical="center"/>
    </xf>
    <xf numFmtId="0" fontId="20" fillId="13" borderId="9" applyNumberFormat="0" applyAlignment="0" applyProtection="0">
      <alignment vertical="center"/>
    </xf>
    <xf numFmtId="0" fontId="21" fillId="14" borderId="10" applyNumberFormat="0" applyAlignment="0" applyProtection="0">
      <alignment vertical="center"/>
    </xf>
    <xf numFmtId="0" fontId="22" fillId="14" borderId="9" applyNumberFormat="0" applyAlignment="0" applyProtection="0">
      <alignment vertical="center"/>
    </xf>
    <xf numFmtId="0" fontId="23" fillId="15" borderId="11" applyNumberFormat="0" applyAlignment="0" applyProtection="0">
      <alignment vertical="center"/>
    </xf>
    <xf numFmtId="0" fontId="24" fillId="0" borderId="12" applyNumberFormat="0" applyFill="0" applyAlignment="0" applyProtection="0">
      <alignment vertical="center"/>
    </xf>
    <xf numFmtId="0" fontId="25" fillId="0" borderId="13" applyNumberFormat="0" applyFill="0" applyAlignment="0" applyProtection="0">
      <alignment vertical="center"/>
    </xf>
    <xf numFmtId="0" fontId="26" fillId="16" borderId="0" applyNumberFormat="0" applyBorder="0" applyAlignment="0" applyProtection="0">
      <alignment vertical="center"/>
    </xf>
    <xf numFmtId="0" fontId="27" fillId="17" borderId="0" applyNumberFormat="0" applyBorder="0" applyAlignment="0" applyProtection="0">
      <alignment vertical="center"/>
    </xf>
    <xf numFmtId="0" fontId="28" fillId="18" borderId="0" applyNumberFormat="0" applyBorder="0" applyAlignment="0" applyProtection="0">
      <alignment vertical="center"/>
    </xf>
    <xf numFmtId="0" fontId="29" fillId="19" borderId="0" applyNumberFormat="0" applyBorder="0" applyAlignment="0" applyProtection="0">
      <alignment vertical="center"/>
    </xf>
    <xf numFmtId="0" fontId="30" fillId="20" borderId="0" applyNumberFormat="0" applyBorder="0" applyAlignment="0" applyProtection="0">
      <alignment vertical="center"/>
    </xf>
    <xf numFmtId="0" fontId="30" fillId="21" borderId="0" applyNumberFormat="0" applyBorder="0" applyAlignment="0" applyProtection="0">
      <alignment vertical="center"/>
    </xf>
    <xf numFmtId="0" fontId="29" fillId="22" borderId="0" applyNumberFormat="0" applyBorder="0" applyAlignment="0" applyProtection="0">
      <alignment vertical="center"/>
    </xf>
    <xf numFmtId="0" fontId="29" fillId="23" borderId="0" applyNumberFormat="0" applyBorder="0" applyAlignment="0" applyProtection="0">
      <alignment vertical="center"/>
    </xf>
    <xf numFmtId="0" fontId="30" fillId="24" borderId="0" applyNumberFormat="0" applyBorder="0" applyAlignment="0" applyProtection="0">
      <alignment vertical="center"/>
    </xf>
    <xf numFmtId="0" fontId="30" fillId="25" borderId="0" applyNumberFormat="0" applyBorder="0" applyAlignment="0" applyProtection="0">
      <alignment vertical="center"/>
    </xf>
    <xf numFmtId="0" fontId="29" fillId="26" borderId="0" applyNumberFormat="0" applyBorder="0" applyAlignment="0" applyProtection="0">
      <alignment vertical="center"/>
    </xf>
    <xf numFmtId="0" fontId="29" fillId="27" borderId="0" applyNumberFormat="0" applyBorder="0" applyAlignment="0" applyProtection="0">
      <alignment vertical="center"/>
    </xf>
    <xf numFmtId="0" fontId="30" fillId="28" borderId="0" applyNumberFormat="0" applyBorder="0" applyAlignment="0" applyProtection="0">
      <alignment vertical="center"/>
    </xf>
    <xf numFmtId="0" fontId="30" fillId="29" borderId="0" applyNumberFormat="0" applyBorder="0" applyAlignment="0" applyProtection="0">
      <alignment vertical="center"/>
    </xf>
    <xf numFmtId="0" fontId="29" fillId="30" borderId="0" applyNumberFormat="0" applyBorder="0" applyAlignment="0" applyProtection="0">
      <alignment vertical="center"/>
    </xf>
    <xf numFmtId="0" fontId="29" fillId="31" borderId="0" applyNumberFormat="0" applyBorder="0" applyAlignment="0" applyProtection="0">
      <alignment vertical="center"/>
    </xf>
    <xf numFmtId="0" fontId="30" fillId="3" borderId="0" applyNumberFormat="0" applyBorder="0" applyAlignment="0" applyProtection="0">
      <alignment vertical="center"/>
    </xf>
    <xf numFmtId="0" fontId="30" fillId="32" borderId="0" applyNumberFormat="0" applyBorder="0" applyAlignment="0" applyProtection="0">
      <alignment vertical="center"/>
    </xf>
    <xf numFmtId="0" fontId="29" fillId="33" borderId="0" applyNumberFormat="0" applyBorder="0" applyAlignment="0" applyProtection="0">
      <alignment vertical="center"/>
    </xf>
    <xf numFmtId="0" fontId="29" fillId="34" borderId="0" applyNumberFormat="0" applyBorder="0" applyAlignment="0" applyProtection="0">
      <alignment vertical="center"/>
    </xf>
    <xf numFmtId="0" fontId="30" fillId="35" borderId="0" applyNumberFormat="0" applyBorder="0" applyAlignment="0" applyProtection="0">
      <alignment vertical="center"/>
    </xf>
    <xf numFmtId="0" fontId="30" fillId="36" borderId="0" applyNumberFormat="0" applyBorder="0" applyAlignment="0" applyProtection="0">
      <alignment vertical="center"/>
    </xf>
    <xf numFmtId="0" fontId="29" fillId="37" borderId="0" applyNumberFormat="0" applyBorder="0" applyAlignment="0" applyProtection="0">
      <alignment vertical="center"/>
    </xf>
    <xf numFmtId="0" fontId="29" fillId="38" borderId="0" applyNumberFormat="0" applyBorder="0" applyAlignment="0" applyProtection="0">
      <alignment vertical="center"/>
    </xf>
    <xf numFmtId="0" fontId="30" fillId="4" borderId="0" applyNumberFormat="0" applyBorder="0" applyAlignment="0" applyProtection="0">
      <alignment vertical="center"/>
    </xf>
    <xf numFmtId="0" fontId="30" fillId="39" borderId="0" applyNumberFormat="0" applyBorder="0" applyAlignment="0" applyProtection="0">
      <alignment vertical="center"/>
    </xf>
    <xf numFmtId="0" fontId="29" fillId="40" borderId="0" applyNumberFormat="0" applyBorder="0" applyAlignment="0" applyProtection="0">
      <alignment vertical="center"/>
    </xf>
    <xf numFmtId="0" fontId="1" fillId="0" borderId="0"/>
    <xf numFmtId="0" fontId="31" fillId="0" borderId="0"/>
    <xf numFmtId="180" fontId="1" fillId="0" borderId="0" applyFont="0" applyFill="0" applyBorder="0" applyAlignment="0" applyProtection="0"/>
  </cellStyleXfs>
  <cellXfs count="36">
    <xf numFmtId="0" fontId="0" fillId="0" borderId="0" xfId="0">
      <alignment vertical="center"/>
    </xf>
    <xf numFmtId="0" fontId="0" fillId="0" borderId="0" xfId="0" applyBorder="1">
      <alignment vertical="center"/>
    </xf>
    <xf numFmtId="0" fontId="1" fillId="0" borderId="0" xfId="49" applyFont="1" applyFill="1" applyAlignment="1"/>
    <xf numFmtId="0" fontId="1" fillId="0" borderId="0" xfId="49" applyFont="1" applyFill="1" applyBorder="1" applyAlignment="1"/>
    <xf numFmtId="9" fontId="2" fillId="0" borderId="0" xfId="49" applyNumberFormat="1" applyFont="1" applyFill="1" applyBorder="1" applyAlignment="1">
      <alignment horizontal="center"/>
    </xf>
    <xf numFmtId="0" fontId="1" fillId="0" borderId="0" xfId="49" applyFont="1" applyFill="1" applyBorder="1" applyAlignment="1">
      <alignment horizontal="center"/>
    </xf>
    <xf numFmtId="0" fontId="3" fillId="2" borderId="1" xfId="50" applyFont="1" applyFill="1" applyBorder="1" applyAlignment="1">
      <alignment horizontal="center" vertical="center" wrapText="1"/>
    </xf>
    <xf numFmtId="0" fontId="3" fillId="2" borderId="1" xfId="50" applyFont="1" applyFill="1" applyBorder="1" applyAlignment="1">
      <alignment horizontal="center" vertical="center"/>
    </xf>
    <xf numFmtId="0" fontId="4" fillId="3" borderId="1" xfId="50" applyFont="1" applyFill="1" applyBorder="1" applyAlignment="1">
      <alignment horizontal="center"/>
    </xf>
    <xf numFmtId="0" fontId="5" fillId="4" borderId="1" xfId="50" applyFont="1" applyFill="1" applyBorder="1" applyAlignment="1">
      <alignment horizontal="center"/>
    </xf>
    <xf numFmtId="178" fontId="3" fillId="5" borderId="1" xfId="50" applyNumberFormat="1" applyFont="1" applyFill="1" applyBorder="1" applyAlignment="1">
      <alignment horizontal="center" vertical="center"/>
    </xf>
    <xf numFmtId="0" fontId="5" fillId="6" borderId="1" xfId="50" applyFont="1" applyFill="1" applyBorder="1" applyAlignment="1">
      <alignment horizontal="center"/>
    </xf>
    <xf numFmtId="178" fontId="3" fillId="7" borderId="2" xfId="50" applyNumberFormat="1" applyFont="1" applyFill="1" applyBorder="1" applyAlignment="1">
      <alignment horizontal="center" vertical="center"/>
    </xf>
    <xf numFmtId="0" fontId="6" fillId="0" borderId="1" xfId="50" applyFont="1" applyBorder="1" applyAlignment="1">
      <alignment horizontal="left" vertical="center" wrapText="1"/>
    </xf>
    <xf numFmtId="0" fontId="6" fillId="0" borderId="1" xfId="50" applyFont="1" applyBorder="1" applyAlignment="1">
      <alignment horizontal="center" vertical="center" wrapText="1"/>
    </xf>
    <xf numFmtId="181" fontId="1" fillId="8" borderId="1" xfId="51" applyNumberFormat="1" applyFill="1" applyBorder="1" applyAlignment="1">
      <alignment vertical="center"/>
    </xf>
    <xf numFmtId="0" fontId="6" fillId="9" borderId="1" xfId="50" applyFont="1" applyFill="1" applyBorder="1" applyAlignment="1">
      <alignment horizontal="left" vertical="center" wrapText="1"/>
    </xf>
    <xf numFmtId="0" fontId="6" fillId="9" borderId="1" xfId="50" applyFont="1" applyFill="1" applyBorder="1" applyAlignment="1">
      <alignment horizontal="center" vertical="center" wrapText="1"/>
    </xf>
    <xf numFmtId="0" fontId="1" fillId="0" borderId="1" xfId="49" applyFont="1" applyFill="1" applyBorder="1" applyAlignment="1"/>
    <xf numFmtId="0" fontId="2" fillId="0" borderId="3" xfId="49" applyFont="1" applyFill="1" applyBorder="1" applyAlignment="1">
      <alignment horizontal="left" vertical="center" wrapText="1"/>
    </xf>
    <xf numFmtId="0" fontId="2" fillId="0" borderId="4" xfId="49" applyFont="1" applyFill="1" applyBorder="1" applyAlignment="1">
      <alignment horizontal="left" vertical="center" wrapText="1"/>
    </xf>
    <xf numFmtId="0" fontId="2" fillId="0" borderId="5" xfId="49" applyFont="1" applyFill="1" applyBorder="1" applyAlignment="1">
      <alignment horizontal="left" vertical="center" wrapText="1"/>
    </xf>
    <xf numFmtId="0" fontId="5" fillId="3" borderId="1" xfId="50" applyFont="1" applyFill="1" applyBorder="1"/>
    <xf numFmtId="178" fontId="3" fillId="7" borderId="1" xfId="50" applyNumberFormat="1" applyFont="1" applyFill="1" applyBorder="1" applyAlignment="1">
      <alignment horizontal="center" vertical="center"/>
    </xf>
    <xf numFmtId="181" fontId="1" fillId="0" borderId="1" xfId="51" applyNumberFormat="1" applyBorder="1" applyAlignment="1">
      <alignment vertical="center"/>
    </xf>
    <xf numFmtId="181" fontId="1" fillId="10" borderId="1" xfId="51" applyNumberFormat="1" applyFill="1" applyBorder="1" applyAlignment="1">
      <alignment vertical="center"/>
    </xf>
    <xf numFmtId="181" fontId="6" fillId="0" borderId="1" xfId="51" applyNumberFormat="1" applyFont="1" applyFill="1" applyBorder="1" applyAlignment="1" applyProtection="1">
      <alignment horizontal="center" vertical="center" wrapText="1"/>
    </xf>
    <xf numFmtId="181" fontId="1" fillId="9" borderId="1" xfId="51" applyNumberFormat="1" applyFill="1" applyBorder="1" applyAlignment="1">
      <alignment vertical="center"/>
    </xf>
    <xf numFmtId="0" fontId="7" fillId="0" borderId="0" xfId="0" applyFont="1">
      <alignment vertical="center"/>
    </xf>
    <xf numFmtId="0" fontId="0" fillId="0" borderId="0" xfId="0" applyAlignment="1">
      <alignment horizontal="center" vertical="center"/>
    </xf>
    <xf numFmtId="0" fontId="8" fillId="11" borderId="0" xfId="0" applyFont="1" applyFill="1" applyAlignment="1">
      <alignment horizontal="center" vertical="center"/>
    </xf>
    <xf numFmtId="0" fontId="9" fillId="0" borderId="0" xfId="0" applyFont="1" applyAlignment="1">
      <alignment horizontal="center" vertical="center"/>
    </xf>
    <xf numFmtId="3" fontId="9" fillId="0" borderId="0" xfId="0" applyNumberFormat="1" applyFont="1" applyAlignment="1">
      <alignment horizontal="center" vertical="center"/>
    </xf>
    <xf numFmtId="0" fontId="10" fillId="11" borderId="0" xfId="49" applyFont="1" applyFill="1" applyAlignment="1">
      <alignment horizontal="center" vertical="center" wrapText="1"/>
    </xf>
    <xf numFmtId="182" fontId="11" fillId="11" borderId="0" xfId="0" applyNumberFormat="1" applyFont="1" applyFill="1" applyAlignment="1">
      <alignment horizontal="center" vertical="center"/>
    </xf>
    <xf numFmtId="0" fontId="10" fillId="11" borderId="0" xfId="49" applyFont="1" applyFill="1" applyAlignment="1">
      <alignment horizontal="center" vertical="center"/>
    </xf>
  </cellXfs>
  <cellStyles count="52">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 name="Normal 3" xfId="49"/>
    <cellStyle name="Normal 2 2" xfId="50"/>
    <cellStyle name="Comma 2" xfId="51"/>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eetMetadata" Target="metadata.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21"/>
  <sheetViews>
    <sheetView tabSelected="1" workbookViewId="0">
      <selection activeCell="C15" sqref="C15"/>
    </sheetView>
  </sheetViews>
  <sheetFormatPr defaultColWidth="8.88571428571429" defaultRowHeight="15"/>
  <cols>
    <col min="2" max="2" width="23.2190476190476" customWidth="1"/>
    <col min="3" max="3" width="19" customWidth="1"/>
    <col min="6" max="6" width="10.6666666666667"/>
    <col min="8" max="8" width="10.6666666666667"/>
    <col min="10" max="10" width="10.6666666666667"/>
    <col min="11" max="11" width="12.1142857142857" style="29"/>
  </cols>
  <sheetData>
    <row r="1" s="28" customFormat="1" ht="14.4" customHeight="1" spans="1:11">
      <c r="A1" s="30" t="s">
        <v>0</v>
      </c>
      <c r="B1" s="30" t="s">
        <v>1</v>
      </c>
      <c r="C1" s="30" t="s">
        <v>2</v>
      </c>
      <c r="D1" s="30" t="s">
        <v>3</v>
      </c>
      <c r="E1" s="30" t="s">
        <v>4</v>
      </c>
      <c r="F1" s="30"/>
      <c r="G1" s="30"/>
      <c r="H1" s="30"/>
      <c r="I1" s="30" t="s">
        <v>5</v>
      </c>
      <c r="J1" s="30"/>
      <c r="K1" s="30" t="s">
        <v>6</v>
      </c>
    </row>
    <row r="2" s="28" customFormat="1" ht="14.4" customHeight="1" spans="1:11">
      <c r="A2" s="30"/>
      <c r="B2" s="30"/>
      <c r="C2" s="30"/>
      <c r="D2" s="30"/>
      <c r="E2" s="30" t="s">
        <v>7</v>
      </c>
      <c r="F2" s="30"/>
      <c r="G2" s="30" t="s">
        <v>8</v>
      </c>
      <c r="H2" s="30"/>
      <c r="I2" s="30"/>
      <c r="J2" s="30"/>
      <c r="K2" s="30"/>
    </row>
    <row r="3" s="28" customFormat="1" ht="12" spans="1:11">
      <c r="A3" s="30"/>
      <c r="B3" s="30"/>
      <c r="C3" s="30"/>
      <c r="D3" s="30"/>
      <c r="E3" s="30" t="s">
        <v>9</v>
      </c>
      <c r="F3" s="30" t="s">
        <v>10</v>
      </c>
      <c r="G3" s="30" t="s">
        <v>9</v>
      </c>
      <c r="H3" s="30" t="s">
        <v>10</v>
      </c>
      <c r="I3" s="30" t="s">
        <v>9</v>
      </c>
      <c r="J3" s="30" t="s">
        <v>10</v>
      </c>
      <c r="K3" s="30"/>
    </row>
    <row r="4" spans="1:11">
      <c r="A4" s="31">
        <v>1</v>
      </c>
      <c r="B4" s="31"/>
      <c r="C4" s="31"/>
      <c r="D4" s="31"/>
      <c r="E4" s="31"/>
      <c r="F4" s="32"/>
      <c r="G4" s="31"/>
      <c r="H4" s="32"/>
      <c r="I4" s="31"/>
      <c r="J4" s="32"/>
      <c r="K4" s="32"/>
    </row>
    <row r="5" spans="1:11">
      <c r="A5" s="31">
        <v>2</v>
      </c>
      <c r="B5" s="31"/>
      <c r="C5" s="31"/>
      <c r="D5" s="31"/>
      <c r="E5" s="31"/>
      <c r="F5" s="32"/>
      <c r="G5" s="31"/>
      <c r="H5" s="32"/>
      <c r="I5" s="31"/>
      <c r="J5" s="32"/>
      <c r="K5" s="32"/>
    </row>
    <row r="6" spans="1:11">
      <c r="A6" s="31">
        <v>3</v>
      </c>
      <c r="B6" s="31"/>
      <c r="C6" s="31"/>
      <c r="D6" s="31"/>
      <c r="E6" s="31"/>
      <c r="F6" s="32"/>
      <c r="G6" s="31"/>
      <c r="H6" s="32"/>
      <c r="I6" s="31"/>
      <c r="J6" s="32"/>
      <c r="K6" s="32"/>
    </row>
    <row r="7" spans="1:11">
      <c r="A7" s="31">
        <v>4</v>
      </c>
      <c r="B7" s="31"/>
      <c r="C7" s="31"/>
      <c r="D7" s="31"/>
      <c r="E7" s="31"/>
      <c r="F7" s="32"/>
      <c r="G7" s="31"/>
      <c r="H7" s="32"/>
      <c r="I7" s="31"/>
      <c r="J7" s="32"/>
      <c r="K7" s="32"/>
    </row>
    <row r="8" spans="1:11">
      <c r="A8" s="31">
        <v>5</v>
      </c>
      <c r="B8" s="31"/>
      <c r="C8" s="31"/>
      <c r="D8" s="31"/>
      <c r="E8" s="31"/>
      <c r="F8" s="32"/>
      <c r="G8" s="31"/>
      <c r="H8" s="31"/>
      <c r="I8" s="31"/>
      <c r="J8" s="31"/>
      <c r="K8" s="32"/>
    </row>
    <row r="9" spans="1:11">
      <c r="A9" s="31">
        <v>6</v>
      </c>
      <c r="B9" s="31"/>
      <c r="C9" s="31"/>
      <c r="D9" s="31"/>
      <c r="E9" s="31"/>
      <c r="F9" s="32"/>
      <c r="G9" s="31"/>
      <c r="H9" s="32"/>
      <c r="I9" s="31"/>
      <c r="J9" s="32"/>
      <c r="K9" s="32"/>
    </row>
    <row r="10" spans="1:11">
      <c r="A10" s="31">
        <v>7</v>
      </c>
      <c r="B10" s="31"/>
      <c r="C10" s="31"/>
      <c r="D10" s="31"/>
      <c r="E10" s="31"/>
      <c r="F10" s="32"/>
      <c r="G10" s="31"/>
      <c r="H10" s="32"/>
      <c r="I10" s="31"/>
      <c r="J10" s="32"/>
      <c r="K10" s="32"/>
    </row>
    <row r="11" spans="1:11">
      <c r="A11" s="31">
        <v>8</v>
      </c>
      <c r="B11" s="31"/>
      <c r="C11" s="31"/>
      <c r="D11" s="31"/>
      <c r="E11" s="31"/>
      <c r="F11" s="32"/>
      <c r="G11" s="31"/>
      <c r="H11" s="32"/>
      <c r="I11" s="31"/>
      <c r="J11" s="32"/>
      <c r="K11" s="32"/>
    </row>
    <row r="12" spans="1:11">
      <c r="A12" s="31">
        <v>9</v>
      </c>
      <c r="B12" s="31"/>
      <c r="C12" s="31"/>
      <c r="D12" s="31"/>
      <c r="E12" s="31"/>
      <c r="F12" s="32"/>
      <c r="G12" s="31"/>
      <c r="H12" s="32"/>
      <c r="I12" s="31"/>
      <c r="J12" s="32"/>
      <c r="K12" s="32"/>
    </row>
    <row r="13" spans="1:11">
      <c r="A13" s="31">
        <v>10</v>
      </c>
      <c r="B13" s="31"/>
      <c r="C13" s="31"/>
      <c r="D13" s="31"/>
      <c r="E13" s="31"/>
      <c r="F13" s="32"/>
      <c r="G13" s="31"/>
      <c r="H13" s="32"/>
      <c r="I13" s="31"/>
      <c r="J13" s="32"/>
      <c r="K13" s="32"/>
    </row>
    <row r="14" spans="1:11">
      <c r="A14" s="31">
        <v>11</v>
      </c>
      <c r="B14" s="31"/>
      <c r="C14" s="31"/>
      <c r="D14" s="31"/>
      <c r="E14" s="31"/>
      <c r="F14" s="32"/>
      <c r="G14" s="31"/>
      <c r="H14" s="32"/>
      <c r="I14" s="31"/>
      <c r="J14" s="32"/>
      <c r="K14" s="32"/>
    </row>
    <row r="15" spans="1:11">
      <c r="A15" s="31">
        <v>12</v>
      </c>
      <c r="B15" s="31"/>
      <c r="C15" s="31"/>
      <c r="D15" s="31"/>
      <c r="E15" s="31"/>
      <c r="F15" s="32"/>
      <c r="G15" s="31"/>
      <c r="H15" s="32"/>
      <c r="I15" s="31"/>
      <c r="J15" s="32"/>
      <c r="K15" s="32"/>
    </row>
    <row r="16" spans="1:11">
      <c r="A16" s="31">
        <v>13</v>
      </c>
      <c r="B16" s="31"/>
      <c r="C16" s="31"/>
      <c r="D16" s="31"/>
      <c r="E16" s="31"/>
      <c r="F16" s="32"/>
      <c r="G16" s="31"/>
      <c r="H16" s="32"/>
      <c r="I16" s="31"/>
      <c r="J16" s="32"/>
      <c r="K16" s="32"/>
    </row>
    <row r="17" spans="1:11">
      <c r="A17" s="31">
        <v>14</v>
      </c>
      <c r="B17" s="31"/>
      <c r="C17" s="31"/>
      <c r="D17" s="31"/>
      <c r="E17" s="31"/>
      <c r="F17" s="32"/>
      <c r="G17" s="31"/>
      <c r="H17" s="32"/>
      <c r="I17" s="31"/>
      <c r="J17" s="32"/>
      <c r="K17" s="32"/>
    </row>
    <row r="18" spans="1:11">
      <c r="A18" s="31">
        <v>15</v>
      </c>
      <c r="B18" s="31"/>
      <c r="C18" s="31"/>
      <c r="D18" s="31"/>
      <c r="E18" s="31"/>
      <c r="F18" s="32"/>
      <c r="G18" s="31"/>
      <c r="H18" s="32"/>
      <c r="I18" s="31"/>
      <c r="J18" s="32"/>
      <c r="K18" s="32"/>
    </row>
    <row r="19" s="28" customFormat="1" ht="12" spans="1:11">
      <c r="A19" s="33" t="s">
        <v>11</v>
      </c>
      <c r="B19" s="33"/>
      <c r="C19" s="33"/>
      <c r="D19" s="33"/>
      <c r="E19" s="33"/>
      <c r="F19" s="33"/>
      <c r="G19" s="33"/>
      <c r="H19" s="33"/>
      <c r="I19" s="33"/>
      <c r="J19" s="33"/>
      <c r="K19" s="34" cm="1">
        <f t="array" ref="K19">SUMPRODUCT(I4:I18)</f>
        <v>0</v>
      </c>
    </row>
    <row r="20" s="28" customFormat="1" ht="12" spans="1:11">
      <c r="A20" s="33" t="s">
        <v>12</v>
      </c>
      <c r="B20" s="33"/>
      <c r="C20" s="33"/>
      <c r="D20" s="33"/>
      <c r="E20" s="33"/>
      <c r="F20" s="33"/>
      <c r="G20" s="33"/>
      <c r="H20" s="33"/>
      <c r="I20" s="33"/>
      <c r="J20" s="33"/>
      <c r="K20" s="34" cm="1">
        <f t="array" ref="K20">SUMPRODUCT(J4:K18)</f>
        <v>0</v>
      </c>
    </row>
    <row r="21" s="28" customFormat="1" ht="12" spans="1:11">
      <c r="A21" s="35" t="s">
        <v>13</v>
      </c>
      <c r="B21" s="35"/>
      <c r="C21" s="35"/>
      <c r="D21" s="35"/>
      <c r="E21" s="35"/>
      <c r="F21" s="35"/>
      <c r="G21" s="35"/>
      <c r="H21" s="35"/>
      <c r="I21" s="35"/>
      <c r="J21" s="35"/>
      <c r="K21" s="34">
        <f>SUM(K19:K20)</f>
        <v>0</v>
      </c>
    </row>
  </sheetData>
  <mergeCells count="12">
    <mergeCell ref="E1:H1"/>
    <mergeCell ref="E2:F2"/>
    <mergeCell ref="G2:H2"/>
    <mergeCell ref="A19:J19"/>
    <mergeCell ref="A20:J20"/>
    <mergeCell ref="A21:J21"/>
    <mergeCell ref="A1:A3"/>
    <mergeCell ref="B1:B3"/>
    <mergeCell ref="C1:C3"/>
    <mergeCell ref="D1:D3"/>
    <mergeCell ref="K1:K3"/>
    <mergeCell ref="I1:J2"/>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418"/>
  <sheetViews>
    <sheetView workbookViewId="0">
      <selection activeCell="D11" sqref="D11"/>
    </sheetView>
  </sheetViews>
  <sheetFormatPr defaultColWidth="8.88571428571429" defaultRowHeight="15" outlineLevelCol="6"/>
  <cols>
    <col min="1" max="2" width="15.2666666666667" style="2" customWidth="1"/>
    <col min="3" max="3" width="10.5047619047619" style="2" customWidth="1"/>
    <col min="4" max="4" width="26.2666666666667" style="2" customWidth="1"/>
    <col min="5" max="5" width="8.17142857142857" style="2" customWidth="1"/>
    <col min="6" max="6" width="11.5428571428571" style="2" customWidth="1"/>
    <col min="7" max="7" width="12.2666666666667" style="2" customWidth="1"/>
  </cols>
  <sheetData>
    <row r="1" s="1" customFormat="1" spans="1:7">
      <c r="A1" s="3"/>
      <c r="B1" s="3"/>
      <c r="C1" s="3"/>
      <c r="D1" s="3"/>
      <c r="E1" s="3"/>
      <c r="F1" s="3"/>
      <c r="G1" s="3"/>
    </row>
    <row r="2" s="1" customFormat="1" spans="1:7">
      <c r="A2" s="3"/>
      <c r="B2" s="3"/>
      <c r="C2" s="3"/>
      <c r="D2" s="3"/>
      <c r="E2" s="3"/>
      <c r="F2" s="5" t="s">
        <v>14</v>
      </c>
      <c r="G2" s="5"/>
    </row>
    <row r="3" ht="15.75" spans="1:7">
      <c r="A3" s="6" t="s">
        <v>15</v>
      </c>
      <c r="B3" s="6" t="s">
        <v>16</v>
      </c>
      <c r="C3" s="6" t="s">
        <v>17</v>
      </c>
      <c r="D3" s="6" t="s">
        <v>18</v>
      </c>
      <c r="E3" s="7" t="s">
        <v>19</v>
      </c>
      <c r="F3" s="10" t="s">
        <v>20</v>
      </c>
      <c r="G3" s="22"/>
    </row>
    <row r="4" ht="15.75" spans="1:7">
      <c r="A4" s="9"/>
      <c r="B4" s="9"/>
      <c r="C4" s="9"/>
      <c r="D4" s="9"/>
      <c r="E4" s="9"/>
      <c r="F4" s="10" t="s">
        <v>9</v>
      </c>
      <c r="G4" s="10" t="s">
        <v>10</v>
      </c>
    </row>
    <row r="5" ht="15.75" spans="1:7">
      <c r="A5" s="11"/>
      <c r="B5" s="11"/>
      <c r="C5" s="11"/>
      <c r="D5" s="11"/>
      <c r="E5" s="11"/>
      <c r="F5" s="23"/>
      <c r="G5" s="23"/>
    </row>
    <row r="6" ht="38.25" spans="1:7">
      <c r="A6" s="13" t="s">
        <v>21</v>
      </c>
      <c r="B6" s="13" t="s">
        <v>22</v>
      </c>
      <c r="C6" s="13" t="s">
        <v>23</v>
      </c>
      <c r="D6" s="13" t="s">
        <v>24</v>
      </c>
      <c r="E6" s="14" t="s">
        <v>25</v>
      </c>
      <c r="F6" s="24">
        <v>5480</v>
      </c>
      <c r="G6" s="24">
        <v>2220</v>
      </c>
    </row>
    <row r="7" ht="38.25" spans="1:7">
      <c r="A7" s="13" t="s">
        <v>26</v>
      </c>
      <c r="B7" s="13" t="s">
        <v>27</v>
      </c>
      <c r="C7" s="13" t="s">
        <v>28</v>
      </c>
      <c r="D7" s="13" t="s">
        <v>29</v>
      </c>
      <c r="E7" s="14" t="s">
        <v>25</v>
      </c>
      <c r="F7" s="24">
        <v>36000</v>
      </c>
      <c r="G7" s="24">
        <v>3560</v>
      </c>
    </row>
    <row r="8" ht="38.25" spans="1:7">
      <c r="A8" s="13" t="s">
        <v>30</v>
      </c>
      <c r="B8" s="13" t="s">
        <v>31</v>
      </c>
      <c r="C8" s="13" t="s">
        <v>32</v>
      </c>
      <c r="D8" s="13" t="s">
        <v>33</v>
      </c>
      <c r="E8" s="14" t="s">
        <v>25</v>
      </c>
      <c r="F8" s="24">
        <v>7820</v>
      </c>
      <c r="G8" s="24">
        <v>3150</v>
      </c>
    </row>
    <row r="9" ht="38.25" spans="1:7">
      <c r="A9" s="13" t="s">
        <v>34</v>
      </c>
      <c r="B9" s="13" t="s">
        <v>35</v>
      </c>
      <c r="C9" s="13" t="s">
        <v>36</v>
      </c>
      <c r="D9" s="13" t="s">
        <v>37</v>
      </c>
      <c r="E9" s="14" t="s">
        <v>25</v>
      </c>
      <c r="F9" s="24">
        <v>68650</v>
      </c>
      <c r="G9" s="24">
        <v>4450</v>
      </c>
    </row>
    <row r="10" ht="38.25" spans="1:7">
      <c r="A10" s="13" t="s">
        <v>38</v>
      </c>
      <c r="B10" s="13" t="s">
        <v>39</v>
      </c>
      <c r="C10" s="13" t="s">
        <v>40</v>
      </c>
      <c r="D10" s="13" t="s">
        <v>41</v>
      </c>
      <c r="E10" s="14" t="s">
        <v>25</v>
      </c>
      <c r="F10" s="24">
        <v>1520</v>
      </c>
      <c r="G10" s="24">
        <v>2220</v>
      </c>
    </row>
    <row r="11" ht="38.25" spans="1:7">
      <c r="A11" s="13" t="s">
        <v>42</v>
      </c>
      <c r="B11" s="13" t="s">
        <v>43</v>
      </c>
      <c r="C11" s="13" t="s">
        <v>44</v>
      </c>
      <c r="D11" s="13" t="s">
        <v>45</v>
      </c>
      <c r="E11" s="14" t="s">
        <v>25</v>
      </c>
      <c r="F11" s="24">
        <v>12350</v>
      </c>
      <c r="G11" s="24">
        <v>3150</v>
      </c>
    </row>
    <row r="12" ht="38.25" spans="1:7">
      <c r="A12" s="13" t="s">
        <v>46</v>
      </c>
      <c r="B12" s="13" t="s">
        <v>47</v>
      </c>
      <c r="C12" s="13" t="s">
        <v>48</v>
      </c>
      <c r="D12" s="13" t="s">
        <v>49</v>
      </c>
      <c r="E12" s="14" t="s">
        <v>25</v>
      </c>
      <c r="F12" s="24">
        <v>2120</v>
      </c>
      <c r="G12" s="24">
        <v>2220</v>
      </c>
    </row>
    <row r="13" ht="38.25" spans="1:7">
      <c r="A13" s="13" t="s">
        <v>50</v>
      </c>
      <c r="B13" s="13" t="s">
        <v>51</v>
      </c>
      <c r="C13" s="13" t="s">
        <v>52</v>
      </c>
      <c r="D13" s="13" t="s">
        <v>53</v>
      </c>
      <c r="E13" s="14" t="s">
        <v>25</v>
      </c>
      <c r="F13" s="24">
        <v>19830</v>
      </c>
      <c r="G13" s="24">
        <v>3150</v>
      </c>
    </row>
    <row r="14" ht="38.25" spans="1:7">
      <c r="A14" s="13" t="s">
        <v>54</v>
      </c>
      <c r="B14" s="13" t="s">
        <v>55</v>
      </c>
      <c r="C14" s="13" t="s">
        <v>56</v>
      </c>
      <c r="D14" s="13" t="s">
        <v>57</v>
      </c>
      <c r="E14" s="14" t="s">
        <v>25</v>
      </c>
      <c r="F14" s="24">
        <v>3960</v>
      </c>
      <c r="G14" s="24">
        <v>2220</v>
      </c>
    </row>
    <row r="15" ht="38.25" spans="1:7">
      <c r="A15" s="13" t="s">
        <v>58</v>
      </c>
      <c r="B15" s="13" t="s">
        <v>59</v>
      </c>
      <c r="C15" s="13" t="s">
        <v>60</v>
      </c>
      <c r="D15" s="13" t="s">
        <v>61</v>
      </c>
      <c r="E15" s="14" t="s">
        <v>25</v>
      </c>
      <c r="F15" s="24">
        <v>23340</v>
      </c>
      <c r="G15" s="24">
        <v>3110</v>
      </c>
    </row>
    <row r="16" ht="51" spans="1:7">
      <c r="A16" s="13" t="s">
        <v>62</v>
      </c>
      <c r="B16" s="13" t="s">
        <v>63</v>
      </c>
      <c r="C16" s="13" t="s">
        <v>64</v>
      </c>
      <c r="D16" s="13" t="s">
        <v>65</v>
      </c>
      <c r="E16" s="14" t="s">
        <v>25</v>
      </c>
      <c r="F16" s="24">
        <v>1060</v>
      </c>
      <c r="G16" s="24">
        <v>1430</v>
      </c>
    </row>
    <row r="17" ht="51" spans="1:7">
      <c r="A17" s="13" t="s">
        <v>66</v>
      </c>
      <c r="B17" s="13" t="s">
        <v>67</v>
      </c>
      <c r="C17" s="13" t="s">
        <v>68</v>
      </c>
      <c r="D17" s="13" t="s">
        <v>69</v>
      </c>
      <c r="E17" s="14" t="s">
        <v>25</v>
      </c>
      <c r="F17" s="24">
        <v>5420</v>
      </c>
      <c r="G17" s="24">
        <v>3910</v>
      </c>
    </row>
    <row r="18" ht="38.25" spans="1:7">
      <c r="A18" s="13" t="s">
        <v>70</v>
      </c>
      <c r="B18" s="13" t="s">
        <v>71</v>
      </c>
      <c r="C18" s="13" t="s">
        <v>72</v>
      </c>
      <c r="D18" s="13" t="s">
        <v>73</v>
      </c>
      <c r="E18" s="14" t="s">
        <v>25</v>
      </c>
      <c r="F18" s="24">
        <v>13260</v>
      </c>
      <c r="G18" s="24">
        <v>4430</v>
      </c>
    </row>
    <row r="19" ht="38.25" spans="1:7">
      <c r="A19" s="13" t="s">
        <v>74</v>
      </c>
      <c r="B19" s="13" t="s">
        <v>75</v>
      </c>
      <c r="C19" s="13" t="s">
        <v>76</v>
      </c>
      <c r="D19" s="13" t="s">
        <v>77</v>
      </c>
      <c r="E19" s="14" t="s">
        <v>25</v>
      </c>
      <c r="F19" s="24">
        <v>10890</v>
      </c>
      <c r="G19" s="24">
        <v>4460</v>
      </c>
    </row>
    <row r="20" ht="51" spans="1:7">
      <c r="A20" s="13" t="s">
        <v>78</v>
      </c>
      <c r="B20" s="13" t="s">
        <v>79</v>
      </c>
      <c r="C20" s="13" t="s">
        <v>80</v>
      </c>
      <c r="D20" s="13" t="s">
        <v>81</v>
      </c>
      <c r="E20" s="14" t="s">
        <v>25</v>
      </c>
      <c r="F20" s="24">
        <v>6170</v>
      </c>
      <c r="G20" s="24">
        <v>3910</v>
      </c>
    </row>
    <row r="21" ht="38.25" spans="1:7">
      <c r="A21" s="13" t="s">
        <v>82</v>
      </c>
      <c r="B21" s="13" t="s">
        <v>83</v>
      </c>
      <c r="C21" s="13" t="s">
        <v>84</v>
      </c>
      <c r="D21" s="13" t="s">
        <v>85</v>
      </c>
      <c r="E21" s="14" t="s">
        <v>25</v>
      </c>
      <c r="F21" s="24">
        <v>17850</v>
      </c>
      <c r="G21" s="24">
        <v>4430</v>
      </c>
    </row>
    <row r="22" ht="38.25" spans="1:7">
      <c r="A22" s="13" t="s">
        <v>86</v>
      </c>
      <c r="B22" s="13" t="s">
        <v>87</v>
      </c>
      <c r="C22" s="13" t="s">
        <v>88</v>
      </c>
      <c r="D22" s="13" t="s">
        <v>89</v>
      </c>
      <c r="E22" s="14" t="s">
        <v>25</v>
      </c>
      <c r="F22" s="24">
        <v>13380</v>
      </c>
      <c r="G22" s="24">
        <v>4430</v>
      </c>
    </row>
    <row r="23" ht="38.25" spans="1:7">
      <c r="A23" s="13" t="s">
        <v>90</v>
      </c>
      <c r="B23" s="13" t="s">
        <v>91</v>
      </c>
      <c r="C23" s="13" t="s">
        <v>92</v>
      </c>
      <c r="D23" s="13" t="s">
        <v>93</v>
      </c>
      <c r="E23" s="14" t="s">
        <v>25</v>
      </c>
      <c r="F23" s="24">
        <v>27660</v>
      </c>
      <c r="G23" s="24">
        <v>4430</v>
      </c>
    </row>
    <row r="24" ht="38.25" spans="1:7">
      <c r="A24" s="13" t="s">
        <v>94</v>
      </c>
      <c r="B24" s="13" t="s">
        <v>95</v>
      </c>
      <c r="C24" s="13" t="s">
        <v>96</v>
      </c>
      <c r="D24" s="13" t="s">
        <v>97</v>
      </c>
      <c r="E24" s="14" t="s">
        <v>25</v>
      </c>
      <c r="F24" s="24">
        <v>18710</v>
      </c>
      <c r="G24" s="24">
        <v>4430</v>
      </c>
    </row>
    <row r="25" ht="38.25" spans="1:7">
      <c r="A25" s="13" t="s">
        <v>98</v>
      </c>
      <c r="B25" s="13" t="s">
        <v>99</v>
      </c>
      <c r="C25" s="13" t="s">
        <v>100</v>
      </c>
      <c r="D25" s="13" t="s">
        <v>101</v>
      </c>
      <c r="E25" s="14" t="s">
        <v>25</v>
      </c>
      <c r="F25" s="24">
        <v>45890</v>
      </c>
      <c r="G25" s="24">
        <v>4430</v>
      </c>
    </row>
    <row r="26" ht="38.25" spans="1:7">
      <c r="A26" s="13" t="s">
        <v>102</v>
      </c>
      <c r="B26" s="13" t="s">
        <v>103</v>
      </c>
      <c r="C26" s="13" t="s">
        <v>104</v>
      </c>
      <c r="D26" s="13" t="s">
        <v>105</v>
      </c>
      <c r="E26" s="14" t="s">
        <v>25</v>
      </c>
      <c r="F26" s="24">
        <v>26710</v>
      </c>
      <c r="G26" s="24">
        <v>4430</v>
      </c>
    </row>
    <row r="27" ht="63.75" spans="1:7">
      <c r="A27" s="13" t="s">
        <v>106</v>
      </c>
      <c r="B27" s="13" t="s">
        <v>107</v>
      </c>
      <c r="C27" s="13" t="s">
        <v>108</v>
      </c>
      <c r="D27" s="13" t="s">
        <v>109</v>
      </c>
      <c r="E27" s="14" t="s">
        <v>25</v>
      </c>
      <c r="F27" s="24">
        <v>4950</v>
      </c>
      <c r="G27" s="24">
        <v>3780</v>
      </c>
    </row>
    <row r="28" ht="63.75" spans="1:7">
      <c r="A28" s="13" t="s">
        <v>110</v>
      </c>
      <c r="B28" s="13" t="s">
        <v>111</v>
      </c>
      <c r="C28" s="13" t="s">
        <v>112</v>
      </c>
      <c r="D28" s="13" t="s">
        <v>113</v>
      </c>
      <c r="E28" s="14" t="s">
        <v>25</v>
      </c>
      <c r="F28" s="24">
        <v>5930</v>
      </c>
      <c r="G28" s="24">
        <v>3830</v>
      </c>
    </row>
    <row r="29" ht="63.75" spans="1:7">
      <c r="A29" s="13" t="s">
        <v>114</v>
      </c>
      <c r="B29" s="13" t="s">
        <v>115</v>
      </c>
      <c r="C29" s="13" t="s">
        <v>116</v>
      </c>
      <c r="D29" s="13" t="s">
        <v>117</v>
      </c>
      <c r="E29" s="14" t="s">
        <v>25</v>
      </c>
      <c r="F29" s="24">
        <v>9000</v>
      </c>
      <c r="G29" s="24">
        <v>3850</v>
      </c>
    </row>
    <row r="30" ht="63.75" spans="1:7">
      <c r="A30" s="13" t="s">
        <v>118</v>
      </c>
      <c r="B30" s="13" t="s">
        <v>119</v>
      </c>
      <c r="C30" s="13" t="s">
        <v>120</v>
      </c>
      <c r="D30" s="13" t="s">
        <v>121</v>
      </c>
      <c r="E30" s="14" t="s">
        <v>25</v>
      </c>
      <c r="F30" s="24">
        <v>15390</v>
      </c>
      <c r="G30" s="24">
        <v>4430</v>
      </c>
    </row>
    <row r="31" ht="25.5" spans="1:7">
      <c r="A31" s="13" t="s">
        <v>122</v>
      </c>
      <c r="B31" s="13" t="s">
        <v>123</v>
      </c>
      <c r="C31" s="13" t="s">
        <v>124</v>
      </c>
      <c r="D31" s="13" t="s">
        <v>125</v>
      </c>
      <c r="E31" s="14" t="s">
        <v>126</v>
      </c>
      <c r="F31" s="24">
        <v>276400</v>
      </c>
      <c r="G31" s="24">
        <v>126100</v>
      </c>
    </row>
    <row r="32" ht="25.5" spans="1:7">
      <c r="A32" s="13" t="s">
        <v>127</v>
      </c>
      <c r="B32" s="13" t="s">
        <v>128</v>
      </c>
      <c r="C32" s="13" t="s">
        <v>129</v>
      </c>
      <c r="D32" s="13" t="s">
        <v>130</v>
      </c>
      <c r="E32" s="14" t="s">
        <v>126</v>
      </c>
      <c r="F32" s="24">
        <v>497700</v>
      </c>
      <c r="G32" s="24">
        <v>100000</v>
      </c>
    </row>
    <row r="33" ht="25.5" spans="1:7">
      <c r="A33" s="13" t="s">
        <v>131</v>
      </c>
      <c r="B33" s="13" t="s">
        <v>132</v>
      </c>
      <c r="C33" s="13" t="s">
        <v>133</v>
      </c>
      <c r="D33" s="13" t="s">
        <v>134</v>
      </c>
      <c r="E33" s="14" t="s">
        <v>135</v>
      </c>
      <c r="F33" s="24">
        <v>4400</v>
      </c>
      <c r="G33" s="24">
        <v>1200</v>
      </c>
    </row>
    <row r="34" ht="38.25" spans="1:7">
      <c r="A34" s="13" t="s">
        <v>136</v>
      </c>
      <c r="B34" s="13" t="s">
        <v>137</v>
      </c>
      <c r="C34" s="13" t="s">
        <v>138</v>
      </c>
      <c r="D34" s="13" t="s">
        <v>139</v>
      </c>
      <c r="E34" s="14" t="s">
        <v>126</v>
      </c>
      <c r="F34" s="24">
        <v>27430</v>
      </c>
      <c r="G34" s="24">
        <v>14660</v>
      </c>
    </row>
    <row r="35" ht="89.25" spans="1:7">
      <c r="A35" s="16" t="s">
        <v>140</v>
      </c>
      <c r="B35" s="13" t="s">
        <v>141</v>
      </c>
      <c r="C35" s="13" t="s">
        <v>142</v>
      </c>
      <c r="D35" s="16" t="s">
        <v>143</v>
      </c>
      <c r="E35" s="17" t="s">
        <v>126</v>
      </c>
      <c r="F35" s="25">
        <v>175000</v>
      </c>
      <c r="G35" s="25">
        <v>679000</v>
      </c>
    </row>
    <row r="36" ht="127.5" spans="1:7">
      <c r="A36" s="13" t="s">
        <v>144</v>
      </c>
      <c r="B36" s="13"/>
      <c r="C36" s="13" t="s">
        <v>145</v>
      </c>
      <c r="D36" s="13" t="s">
        <v>146</v>
      </c>
      <c r="E36" s="14" t="s">
        <v>25</v>
      </c>
      <c r="F36" s="24">
        <v>0</v>
      </c>
      <c r="G36" s="24">
        <v>179000</v>
      </c>
    </row>
    <row r="37" ht="114.75" spans="1:7">
      <c r="A37" s="13" t="s">
        <v>147</v>
      </c>
      <c r="B37" s="13" t="s">
        <v>148</v>
      </c>
      <c r="C37" s="13" t="s">
        <v>149</v>
      </c>
      <c r="D37" s="13" t="s">
        <v>150</v>
      </c>
      <c r="E37" s="14" t="s">
        <v>151</v>
      </c>
      <c r="F37" s="24">
        <v>91930</v>
      </c>
      <c r="G37" s="24">
        <v>99080</v>
      </c>
    </row>
    <row r="38" ht="76.5" spans="1:7">
      <c r="A38" s="13" t="s">
        <v>152</v>
      </c>
      <c r="B38" s="13"/>
      <c r="C38" s="13" t="s">
        <v>153</v>
      </c>
      <c r="D38" s="13" t="s">
        <v>154</v>
      </c>
      <c r="E38" s="14" t="s">
        <v>25</v>
      </c>
      <c r="F38" s="24">
        <v>0</v>
      </c>
      <c r="G38" s="24">
        <v>18430</v>
      </c>
    </row>
    <row r="39" ht="76.5" spans="1:7">
      <c r="A39" s="16" t="s">
        <v>155</v>
      </c>
      <c r="B39" s="13"/>
      <c r="C39" s="13" t="s">
        <v>156</v>
      </c>
      <c r="D39" s="16" t="s">
        <v>157</v>
      </c>
      <c r="E39" s="17" t="s">
        <v>25</v>
      </c>
      <c r="F39" s="24">
        <v>0</v>
      </c>
      <c r="G39" s="24">
        <v>21870</v>
      </c>
    </row>
    <row r="40" ht="76.5" spans="1:7">
      <c r="A40" s="13" t="s">
        <v>158</v>
      </c>
      <c r="B40" s="13"/>
      <c r="C40" s="13" t="s">
        <v>159</v>
      </c>
      <c r="D40" s="13" t="s">
        <v>160</v>
      </c>
      <c r="E40" s="14" t="s">
        <v>25</v>
      </c>
      <c r="F40" s="24">
        <v>0</v>
      </c>
      <c r="G40" s="24">
        <v>29980</v>
      </c>
    </row>
    <row r="41" ht="76.5" spans="1:7">
      <c r="A41" s="13" t="s">
        <v>161</v>
      </c>
      <c r="B41" s="13"/>
      <c r="C41" s="13" t="s">
        <v>162</v>
      </c>
      <c r="D41" s="13" t="s">
        <v>163</v>
      </c>
      <c r="E41" s="14" t="s">
        <v>25</v>
      </c>
      <c r="F41" s="24">
        <v>0</v>
      </c>
      <c r="G41" s="24">
        <v>34250</v>
      </c>
    </row>
    <row r="42" ht="76.5" spans="1:7">
      <c r="A42" s="13" t="s">
        <v>164</v>
      </c>
      <c r="B42" s="13"/>
      <c r="C42" s="13" t="s">
        <v>165</v>
      </c>
      <c r="D42" s="13" t="s">
        <v>166</v>
      </c>
      <c r="E42" s="14" t="s">
        <v>25</v>
      </c>
      <c r="F42" s="24">
        <v>0</v>
      </c>
      <c r="G42" s="24">
        <v>36070</v>
      </c>
    </row>
    <row r="43" ht="76.5" spans="1:7">
      <c r="A43" s="13" t="s">
        <v>167</v>
      </c>
      <c r="B43" s="13"/>
      <c r="C43" s="13" t="s">
        <v>168</v>
      </c>
      <c r="D43" s="13" t="s">
        <v>169</v>
      </c>
      <c r="E43" s="14" t="s">
        <v>25</v>
      </c>
      <c r="F43" s="24">
        <v>0</v>
      </c>
      <c r="G43" s="24">
        <v>38230</v>
      </c>
    </row>
    <row r="44" ht="76.5" spans="1:7">
      <c r="A44" s="13" t="s">
        <v>170</v>
      </c>
      <c r="B44" s="13"/>
      <c r="C44" s="13" t="s">
        <v>171</v>
      </c>
      <c r="D44" s="13" t="s">
        <v>172</v>
      </c>
      <c r="E44" s="14" t="s">
        <v>25</v>
      </c>
      <c r="F44" s="24">
        <v>0</v>
      </c>
      <c r="G44" s="24">
        <v>40250</v>
      </c>
    </row>
    <row r="45" ht="114.75" spans="1:7">
      <c r="A45" s="13" t="s">
        <v>173</v>
      </c>
      <c r="B45" s="13"/>
      <c r="C45" s="13" t="s">
        <v>174</v>
      </c>
      <c r="D45" s="13" t="s">
        <v>175</v>
      </c>
      <c r="E45" s="14" t="s">
        <v>25</v>
      </c>
      <c r="F45" s="24">
        <v>0</v>
      </c>
      <c r="G45" s="24">
        <v>173600</v>
      </c>
    </row>
    <row r="46" ht="102" spans="1:7">
      <c r="A46" s="13" t="s">
        <v>176</v>
      </c>
      <c r="B46" s="13" t="s">
        <v>177</v>
      </c>
      <c r="C46" s="13" t="s">
        <v>178</v>
      </c>
      <c r="D46" s="13" t="s">
        <v>179</v>
      </c>
      <c r="E46" s="14" t="s">
        <v>25</v>
      </c>
      <c r="F46" s="24">
        <v>130500</v>
      </c>
      <c r="G46" s="24">
        <v>101800</v>
      </c>
    </row>
    <row r="47" ht="63.75" spans="1:7">
      <c r="A47" s="13" t="s">
        <v>180</v>
      </c>
      <c r="B47" s="13"/>
      <c r="C47" s="13" t="s">
        <v>181</v>
      </c>
      <c r="D47" s="13" t="s">
        <v>182</v>
      </c>
      <c r="E47" s="14" t="s">
        <v>25</v>
      </c>
      <c r="F47" s="24">
        <v>0</v>
      </c>
      <c r="G47" s="24">
        <v>122000</v>
      </c>
    </row>
    <row r="48" ht="63.75" spans="1:7">
      <c r="A48" s="13" t="s">
        <v>183</v>
      </c>
      <c r="B48" s="13"/>
      <c r="C48" s="13" t="s">
        <v>184</v>
      </c>
      <c r="D48" s="13" t="s">
        <v>185</v>
      </c>
      <c r="E48" s="14" t="s">
        <v>25</v>
      </c>
      <c r="F48" s="24">
        <v>0</v>
      </c>
      <c r="G48" s="24">
        <v>135900</v>
      </c>
    </row>
    <row r="49" ht="63.75" spans="1:7">
      <c r="A49" s="13" t="s">
        <v>186</v>
      </c>
      <c r="B49" s="13"/>
      <c r="C49" s="13" t="s">
        <v>187</v>
      </c>
      <c r="D49" s="13" t="s">
        <v>188</v>
      </c>
      <c r="E49" s="14" t="s">
        <v>25</v>
      </c>
      <c r="F49" s="24">
        <v>0</v>
      </c>
      <c r="G49" s="24">
        <v>141900</v>
      </c>
    </row>
    <row r="50" ht="63.75" spans="1:7">
      <c r="A50" s="13" t="s">
        <v>189</v>
      </c>
      <c r="B50" s="13"/>
      <c r="C50" s="13" t="s">
        <v>190</v>
      </c>
      <c r="D50" s="13" t="s">
        <v>191</v>
      </c>
      <c r="E50" s="14" t="s">
        <v>25</v>
      </c>
      <c r="F50" s="24">
        <v>0</v>
      </c>
      <c r="G50" s="24">
        <v>145900</v>
      </c>
    </row>
    <row r="51" ht="63.75" spans="1:7">
      <c r="A51" s="13" t="s">
        <v>192</v>
      </c>
      <c r="B51" s="13"/>
      <c r="C51" s="13" t="s">
        <v>193</v>
      </c>
      <c r="D51" s="13" t="s">
        <v>194</v>
      </c>
      <c r="E51" s="14" t="s">
        <v>25</v>
      </c>
      <c r="F51" s="24">
        <v>0</v>
      </c>
      <c r="G51" s="24">
        <v>152800</v>
      </c>
    </row>
    <row r="52" ht="51" spans="1:7">
      <c r="A52" s="13" t="s">
        <v>195</v>
      </c>
      <c r="B52" s="13"/>
      <c r="C52" s="13" t="s">
        <v>196</v>
      </c>
      <c r="D52" s="13" t="s">
        <v>197</v>
      </c>
      <c r="E52" s="14" t="s">
        <v>25</v>
      </c>
      <c r="F52" s="24">
        <v>0</v>
      </c>
      <c r="G52" s="24">
        <v>203700</v>
      </c>
    </row>
    <row r="53" ht="51" spans="1:7">
      <c r="A53" s="13" t="s">
        <v>198</v>
      </c>
      <c r="B53" s="13" t="s">
        <v>199</v>
      </c>
      <c r="C53" s="13" t="s">
        <v>200</v>
      </c>
      <c r="D53" s="13" t="s">
        <v>201</v>
      </c>
      <c r="E53" s="14" t="s">
        <v>202</v>
      </c>
      <c r="F53" s="24">
        <v>41080</v>
      </c>
      <c r="G53" s="24">
        <v>74570</v>
      </c>
    </row>
    <row r="54" spans="1:7">
      <c r="A54" s="13" t="s">
        <v>203</v>
      </c>
      <c r="B54" s="13"/>
      <c r="C54" s="13" t="s">
        <v>204</v>
      </c>
      <c r="D54" s="13" t="s">
        <v>205</v>
      </c>
      <c r="E54" s="14" t="s">
        <v>151</v>
      </c>
      <c r="F54" s="24">
        <v>0</v>
      </c>
      <c r="G54" s="24">
        <v>270</v>
      </c>
    </row>
    <row r="55" ht="38.25" spans="1:7">
      <c r="A55" s="13" t="s">
        <v>206</v>
      </c>
      <c r="B55" s="13"/>
      <c r="C55" s="13" t="s">
        <v>207</v>
      </c>
      <c r="D55" s="13" t="s">
        <v>208</v>
      </c>
      <c r="E55" s="14" t="s">
        <v>25</v>
      </c>
      <c r="F55" s="24">
        <v>0</v>
      </c>
      <c r="G55" s="24">
        <v>710</v>
      </c>
    </row>
    <row r="56" ht="38.25" spans="1:7">
      <c r="A56" s="13" t="s">
        <v>209</v>
      </c>
      <c r="B56" s="13"/>
      <c r="C56" s="13" t="s">
        <v>210</v>
      </c>
      <c r="D56" s="13" t="s">
        <v>211</v>
      </c>
      <c r="E56" s="14" t="s">
        <v>25</v>
      </c>
      <c r="F56" s="24">
        <v>0</v>
      </c>
      <c r="G56" s="24">
        <v>630</v>
      </c>
    </row>
    <row r="57" ht="25.5" spans="1:7">
      <c r="A57" s="13" t="s">
        <v>212</v>
      </c>
      <c r="B57" s="13"/>
      <c r="C57" s="13" t="s">
        <v>213</v>
      </c>
      <c r="D57" s="13" t="s">
        <v>214</v>
      </c>
      <c r="E57" s="14" t="s">
        <v>215</v>
      </c>
      <c r="F57" s="24">
        <v>0</v>
      </c>
      <c r="G57" s="24">
        <v>136200</v>
      </c>
    </row>
    <row r="58" ht="102" spans="1:7">
      <c r="A58" s="13" t="s">
        <v>216</v>
      </c>
      <c r="B58" s="13" t="s">
        <v>217</v>
      </c>
      <c r="C58" s="13" t="s">
        <v>218</v>
      </c>
      <c r="D58" s="13" t="s">
        <v>219</v>
      </c>
      <c r="E58" s="14" t="s">
        <v>220</v>
      </c>
      <c r="F58" s="24">
        <v>134000</v>
      </c>
      <c r="G58" s="24">
        <v>69840</v>
      </c>
    </row>
    <row r="59" ht="38.25" spans="1:7">
      <c r="A59" s="13" t="s">
        <v>221</v>
      </c>
      <c r="B59" s="13" t="s">
        <v>222</v>
      </c>
      <c r="C59" s="13" t="s">
        <v>223</v>
      </c>
      <c r="D59" s="13" t="s">
        <v>224</v>
      </c>
      <c r="E59" s="14" t="s">
        <v>225</v>
      </c>
      <c r="F59" s="24">
        <v>15130</v>
      </c>
      <c r="G59" s="24">
        <v>11130</v>
      </c>
    </row>
    <row r="60" ht="25.5" spans="1:7">
      <c r="A60" s="13" t="s">
        <v>226</v>
      </c>
      <c r="B60" s="13" t="s">
        <v>227</v>
      </c>
      <c r="C60" s="13" t="s">
        <v>228</v>
      </c>
      <c r="D60" s="13" t="s">
        <v>229</v>
      </c>
      <c r="E60" s="14" t="s">
        <v>126</v>
      </c>
      <c r="F60" s="24">
        <v>980</v>
      </c>
      <c r="G60" s="24">
        <v>970</v>
      </c>
    </row>
    <row r="61" ht="63.75" spans="1:7">
      <c r="A61" s="13" t="s">
        <v>230</v>
      </c>
      <c r="B61" s="13" t="s">
        <v>231</v>
      </c>
      <c r="C61" s="13" t="s">
        <v>232</v>
      </c>
      <c r="D61" s="13" t="s">
        <v>233</v>
      </c>
      <c r="E61" s="14" t="s">
        <v>126</v>
      </c>
      <c r="F61" s="24">
        <v>78000</v>
      </c>
      <c r="G61" s="24">
        <v>93240</v>
      </c>
    </row>
    <row r="62" ht="63.75" spans="1:7">
      <c r="A62" s="13" t="s">
        <v>234</v>
      </c>
      <c r="B62" s="13" t="s">
        <v>235</v>
      </c>
      <c r="C62" s="13" t="s">
        <v>236</v>
      </c>
      <c r="D62" s="13" t="s">
        <v>237</v>
      </c>
      <c r="E62" s="14" t="s">
        <v>126</v>
      </c>
      <c r="F62" s="24">
        <v>7110</v>
      </c>
      <c r="G62" s="24">
        <v>11130</v>
      </c>
    </row>
    <row r="63" ht="25.5" spans="1:7">
      <c r="A63" s="13" t="s">
        <v>238</v>
      </c>
      <c r="B63" s="13" t="s">
        <v>239</v>
      </c>
      <c r="C63" s="13" t="s">
        <v>240</v>
      </c>
      <c r="D63" s="13" t="s">
        <v>241</v>
      </c>
      <c r="E63" s="14" t="s">
        <v>215</v>
      </c>
      <c r="F63" s="24">
        <v>2602000</v>
      </c>
      <c r="G63" s="24">
        <v>582000</v>
      </c>
    </row>
    <row r="64" ht="25.5" spans="1:7">
      <c r="A64" s="13" t="s">
        <v>242</v>
      </c>
      <c r="B64" s="13"/>
      <c r="C64" s="13" t="s">
        <v>243</v>
      </c>
      <c r="D64" s="13" t="s">
        <v>244</v>
      </c>
      <c r="E64" s="14" t="s">
        <v>245</v>
      </c>
      <c r="F64" s="24">
        <v>0</v>
      </c>
      <c r="G64" s="24">
        <v>33850</v>
      </c>
    </row>
    <row r="65" ht="38.25" spans="1:7">
      <c r="A65" s="13" t="s">
        <v>246</v>
      </c>
      <c r="B65" s="13"/>
      <c r="C65" s="13" t="s">
        <v>247</v>
      </c>
      <c r="D65" s="13" t="s">
        <v>248</v>
      </c>
      <c r="E65" s="14" t="s">
        <v>249</v>
      </c>
      <c r="F65" s="24">
        <v>0</v>
      </c>
      <c r="G65" s="24">
        <v>776000</v>
      </c>
    </row>
    <row r="66" ht="38.25" spans="1:7">
      <c r="A66" s="13" t="s">
        <v>250</v>
      </c>
      <c r="B66" s="13" t="s">
        <v>251</v>
      </c>
      <c r="C66" s="13" t="s">
        <v>252</v>
      </c>
      <c r="D66" s="13" t="s">
        <v>253</v>
      </c>
      <c r="E66" s="14" t="s">
        <v>151</v>
      </c>
      <c r="F66" s="24">
        <v>48020</v>
      </c>
      <c r="G66" s="24">
        <v>3200</v>
      </c>
    </row>
    <row r="67" ht="51" spans="1:7">
      <c r="A67" s="13" t="s">
        <v>254</v>
      </c>
      <c r="B67" s="13" t="s">
        <v>255</v>
      </c>
      <c r="C67" s="13" t="s">
        <v>256</v>
      </c>
      <c r="D67" s="13" t="s">
        <v>257</v>
      </c>
      <c r="E67" s="14" t="s">
        <v>25</v>
      </c>
      <c r="F67" s="24">
        <v>10190</v>
      </c>
      <c r="G67" s="24">
        <v>3200</v>
      </c>
    </row>
    <row r="68" ht="38.25" spans="1:7">
      <c r="A68" s="13" t="s">
        <v>258</v>
      </c>
      <c r="B68" s="13" t="s">
        <v>259</v>
      </c>
      <c r="C68" s="13" t="s">
        <v>260</v>
      </c>
      <c r="D68" s="13" t="s">
        <v>261</v>
      </c>
      <c r="E68" s="14" t="s">
        <v>25</v>
      </c>
      <c r="F68" s="24">
        <v>9660</v>
      </c>
      <c r="G68" s="24">
        <v>3200</v>
      </c>
    </row>
    <row r="69" ht="38.25" spans="1:7">
      <c r="A69" s="13" t="s">
        <v>262</v>
      </c>
      <c r="B69" s="13" t="s">
        <v>263</v>
      </c>
      <c r="C69" s="13" t="s">
        <v>264</v>
      </c>
      <c r="D69" s="13" t="s">
        <v>265</v>
      </c>
      <c r="E69" s="14" t="s">
        <v>25</v>
      </c>
      <c r="F69" s="24">
        <v>5760</v>
      </c>
      <c r="G69" s="24">
        <v>3030</v>
      </c>
    </row>
    <row r="70" ht="38.25" spans="1:7">
      <c r="A70" s="13" t="s">
        <v>266</v>
      </c>
      <c r="B70" s="13" t="s">
        <v>267</v>
      </c>
      <c r="C70" s="13" t="s">
        <v>268</v>
      </c>
      <c r="D70" s="13" t="s">
        <v>269</v>
      </c>
      <c r="E70" s="14" t="s">
        <v>25</v>
      </c>
      <c r="F70" s="24">
        <v>32400</v>
      </c>
      <c r="G70" s="24">
        <v>3890</v>
      </c>
    </row>
    <row r="71" ht="51" spans="1:7">
      <c r="A71" s="13" t="s">
        <v>270</v>
      </c>
      <c r="B71" s="13" t="s">
        <v>271</v>
      </c>
      <c r="C71" s="13" t="s">
        <v>272</v>
      </c>
      <c r="D71" s="13" t="s">
        <v>273</v>
      </c>
      <c r="E71" s="14" t="s">
        <v>25</v>
      </c>
      <c r="F71" s="24">
        <v>14170</v>
      </c>
      <c r="G71" s="24">
        <v>3200</v>
      </c>
    </row>
    <row r="72" ht="38.25" spans="1:7">
      <c r="A72" s="13" t="s">
        <v>274</v>
      </c>
      <c r="B72" s="13" t="s">
        <v>275</v>
      </c>
      <c r="C72" s="13" t="s">
        <v>276</v>
      </c>
      <c r="D72" s="13" t="s">
        <v>277</v>
      </c>
      <c r="E72" s="14" t="s">
        <v>25</v>
      </c>
      <c r="F72" s="24">
        <v>13770</v>
      </c>
      <c r="G72" s="24">
        <v>3200</v>
      </c>
    </row>
    <row r="73" ht="38.25" spans="1:7">
      <c r="A73" s="13" t="s">
        <v>278</v>
      </c>
      <c r="B73" s="13" t="s">
        <v>279</v>
      </c>
      <c r="C73" s="13" t="s">
        <v>280</v>
      </c>
      <c r="D73" s="13" t="s">
        <v>281</v>
      </c>
      <c r="E73" s="14" t="s">
        <v>25</v>
      </c>
      <c r="F73" s="24">
        <v>7560</v>
      </c>
      <c r="G73" s="24">
        <v>3010</v>
      </c>
    </row>
    <row r="74" ht="38.25" spans="1:7">
      <c r="A74" s="13" t="s">
        <v>282</v>
      </c>
      <c r="B74" s="13" t="s">
        <v>283</v>
      </c>
      <c r="C74" s="13" t="s">
        <v>284</v>
      </c>
      <c r="D74" s="13" t="s">
        <v>285</v>
      </c>
      <c r="E74" s="14" t="s">
        <v>25</v>
      </c>
      <c r="F74" s="24">
        <v>59400</v>
      </c>
      <c r="G74" s="24">
        <v>3880</v>
      </c>
    </row>
    <row r="75" ht="51" spans="1:7">
      <c r="A75" s="13" t="s">
        <v>286</v>
      </c>
      <c r="B75" s="13" t="s">
        <v>287</v>
      </c>
      <c r="C75" s="13" t="s">
        <v>288</v>
      </c>
      <c r="D75" s="13" t="s">
        <v>289</v>
      </c>
      <c r="E75" s="14" t="s">
        <v>25</v>
      </c>
      <c r="F75" s="24">
        <v>1820</v>
      </c>
      <c r="G75" s="24">
        <v>1430</v>
      </c>
    </row>
    <row r="76" ht="38.25" spans="1:7">
      <c r="A76" s="13" t="s">
        <v>290</v>
      </c>
      <c r="B76" s="13" t="s">
        <v>291</v>
      </c>
      <c r="C76" s="13" t="s">
        <v>292</v>
      </c>
      <c r="D76" s="13" t="s">
        <v>293</v>
      </c>
      <c r="E76" s="14" t="s">
        <v>25</v>
      </c>
      <c r="F76" s="24">
        <v>22000</v>
      </c>
      <c r="G76" s="24">
        <v>3200</v>
      </c>
    </row>
    <row r="77" ht="38.25" spans="1:7">
      <c r="A77" s="13" t="s">
        <v>294</v>
      </c>
      <c r="B77" s="13" t="s">
        <v>295</v>
      </c>
      <c r="C77" s="13" t="s">
        <v>296</v>
      </c>
      <c r="D77" s="13" t="s">
        <v>297</v>
      </c>
      <c r="E77" s="14" t="s">
        <v>25</v>
      </c>
      <c r="F77" s="24">
        <v>10890</v>
      </c>
      <c r="G77" s="24">
        <v>3060</v>
      </c>
    </row>
    <row r="78" ht="38.25" spans="1:7">
      <c r="A78" s="13" t="s">
        <v>298</v>
      </c>
      <c r="B78" s="13" t="s">
        <v>299</v>
      </c>
      <c r="C78" s="13" t="s">
        <v>300</v>
      </c>
      <c r="D78" s="13" t="s">
        <v>301</v>
      </c>
      <c r="E78" s="14" t="s">
        <v>25</v>
      </c>
      <c r="F78" s="24">
        <v>42870</v>
      </c>
      <c r="G78" s="24">
        <v>3200</v>
      </c>
    </row>
    <row r="79" ht="38.25" spans="1:7">
      <c r="A79" s="13" t="s">
        <v>302</v>
      </c>
      <c r="B79" s="13" t="s">
        <v>303</v>
      </c>
      <c r="C79" s="13" t="s">
        <v>304</v>
      </c>
      <c r="D79" s="13" t="s">
        <v>305</v>
      </c>
      <c r="E79" s="14" t="s">
        <v>25</v>
      </c>
      <c r="F79" s="24">
        <v>18390</v>
      </c>
      <c r="G79" s="24">
        <v>3200</v>
      </c>
    </row>
    <row r="80" ht="25.5" spans="1:7">
      <c r="A80" s="13" t="s">
        <v>306</v>
      </c>
      <c r="B80" s="13" t="s">
        <v>307</v>
      </c>
      <c r="C80" s="13" t="s">
        <v>308</v>
      </c>
      <c r="D80" s="13" t="s">
        <v>309</v>
      </c>
      <c r="E80" s="14" t="s">
        <v>310</v>
      </c>
      <c r="F80" s="24">
        <v>1220</v>
      </c>
      <c r="G80" s="24">
        <v>520</v>
      </c>
    </row>
    <row r="81" ht="51" spans="1:7">
      <c r="A81" s="13" t="s">
        <v>311</v>
      </c>
      <c r="B81" s="13"/>
      <c r="C81" s="13" t="s">
        <v>312</v>
      </c>
      <c r="D81" s="13" t="s">
        <v>313</v>
      </c>
      <c r="E81" s="14" t="s">
        <v>314</v>
      </c>
      <c r="F81" s="24">
        <v>0</v>
      </c>
      <c r="G81" s="24">
        <v>46190</v>
      </c>
    </row>
    <row r="82" ht="38.25" spans="1:7">
      <c r="A82" s="13" t="s">
        <v>315</v>
      </c>
      <c r="B82" s="13" t="s">
        <v>316</v>
      </c>
      <c r="C82" s="13" t="s">
        <v>317</v>
      </c>
      <c r="D82" s="13" t="s">
        <v>318</v>
      </c>
      <c r="E82" s="14" t="s">
        <v>25</v>
      </c>
      <c r="F82" s="24">
        <v>6340</v>
      </c>
      <c r="G82" s="24">
        <v>1510</v>
      </c>
    </row>
    <row r="83" ht="38.25" spans="1:7">
      <c r="A83" s="13" t="s">
        <v>319</v>
      </c>
      <c r="B83" s="13" t="s">
        <v>320</v>
      </c>
      <c r="C83" s="13" t="s">
        <v>321</v>
      </c>
      <c r="D83" s="13" t="s">
        <v>322</v>
      </c>
      <c r="E83" s="14" t="s">
        <v>25</v>
      </c>
      <c r="F83" s="24">
        <v>19740</v>
      </c>
      <c r="G83" s="24">
        <v>1970</v>
      </c>
    </row>
    <row r="84" ht="38.25" spans="1:7">
      <c r="A84" s="13" t="s">
        <v>323</v>
      </c>
      <c r="B84" s="13" t="s">
        <v>324</v>
      </c>
      <c r="C84" s="13" t="s">
        <v>325</v>
      </c>
      <c r="D84" s="13" t="s">
        <v>326</v>
      </c>
      <c r="E84" s="14" t="s">
        <v>25</v>
      </c>
      <c r="F84" s="24">
        <v>8980</v>
      </c>
      <c r="G84" s="24">
        <v>1510</v>
      </c>
    </row>
    <row r="85" ht="38.25" spans="1:7">
      <c r="A85" s="13" t="s">
        <v>327</v>
      </c>
      <c r="B85" s="13" t="s">
        <v>328</v>
      </c>
      <c r="C85" s="13" t="s">
        <v>329</v>
      </c>
      <c r="D85" s="13" t="s">
        <v>330</v>
      </c>
      <c r="E85" s="14" t="s">
        <v>25</v>
      </c>
      <c r="F85" s="24">
        <v>18070</v>
      </c>
      <c r="G85" s="24">
        <v>1970</v>
      </c>
    </row>
    <row r="86" ht="38.25" spans="1:7">
      <c r="A86" s="13" t="s">
        <v>331</v>
      </c>
      <c r="B86" s="13" t="s">
        <v>332</v>
      </c>
      <c r="C86" s="13" t="s">
        <v>333</v>
      </c>
      <c r="D86" s="13" t="s">
        <v>334</v>
      </c>
      <c r="E86" s="14" t="s">
        <v>25</v>
      </c>
      <c r="F86" s="24">
        <v>16390</v>
      </c>
      <c r="G86" s="24">
        <v>1510</v>
      </c>
    </row>
    <row r="87" ht="38.25" spans="1:7">
      <c r="A87" s="13" t="s">
        <v>335</v>
      </c>
      <c r="B87" s="13" t="s">
        <v>336</v>
      </c>
      <c r="C87" s="13" t="s">
        <v>337</v>
      </c>
      <c r="D87" s="13" t="s">
        <v>338</v>
      </c>
      <c r="E87" s="14" t="s">
        <v>25</v>
      </c>
      <c r="F87" s="24">
        <v>32800</v>
      </c>
      <c r="G87" s="24">
        <v>1970</v>
      </c>
    </row>
    <row r="88" ht="38.25" spans="1:7">
      <c r="A88" s="13" t="s">
        <v>339</v>
      </c>
      <c r="B88" s="13" t="s">
        <v>340</v>
      </c>
      <c r="C88" s="13" t="s">
        <v>341</v>
      </c>
      <c r="D88" s="13" t="s">
        <v>342</v>
      </c>
      <c r="E88" s="14" t="s">
        <v>126</v>
      </c>
      <c r="F88" s="24">
        <v>31280</v>
      </c>
      <c r="G88" s="24">
        <v>45590</v>
      </c>
    </row>
    <row r="89" ht="51" spans="1:7">
      <c r="A89" s="13" t="s">
        <v>343</v>
      </c>
      <c r="B89" s="13" t="s">
        <v>344</v>
      </c>
      <c r="C89" s="13" t="s">
        <v>345</v>
      </c>
      <c r="D89" s="13" t="s">
        <v>346</v>
      </c>
      <c r="E89" s="14" t="s">
        <v>25</v>
      </c>
      <c r="F89" s="24">
        <v>10110</v>
      </c>
      <c r="G89" s="24">
        <v>1490</v>
      </c>
    </row>
    <row r="90" ht="76.5" spans="1:7">
      <c r="A90" s="13" t="s">
        <v>347</v>
      </c>
      <c r="B90" s="13" t="s">
        <v>348</v>
      </c>
      <c r="C90" s="13" t="s">
        <v>349</v>
      </c>
      <c r="D90" s="13" t="s">
        <v>350</v>
      </c>
      <c r="E90" s="14" t="s">
        <v>25</v>
      </c>
      <c r="F90" s="24">
        <v>240000</v>
      </c>
      <c r="G90" s="24">
        <v>72210</v>
      </c>
    </row>
    <row r="91" ht="89.25" spans="1:7">
      <c r="A91" s="13" t="s">
        <v>351</v>
      </c>
      <c r="B91" s="13" t="s">
        <v>352</v>
      </c>
      <c r="C91" s="13" t="s">
        <v>353</v>
      </c>
      <c r="D91" s="13" t="s">
        <v>354</v>
      </c>
      <c r="E91" s="14" t="s">
        <v>25</v>
      </c>
      <c r="F91" s="24">
        <v>480000</v>
      </c>
      <c r="G91" s="24">
        <v>74690</v>
      </c>
    </row>
    <row r="92" ht="76.5" spans="1:7">
      <c r="A92" s="13" t="s">
        <v>355</v>
      </c>
      <c r="B92" s="13" t="s">
        <v>356</v>
      </c>
      <c r="C92" s="13" t="s">
        <v>357</v>
      </c>
      <c r="D92" s="13" t="s">
        <v>358</v>
      </c>
      <c r="E92" s="14" t="s">
        <v>25</v>
      </c>
      <c r="F92" s="24">
        <v>139900</v>
      </c>
      <c r="G92" s="24">
        <v>40130</v>
      </c>
    </row>
    <row r="93" ht="76.5" spans="1:7">
      <c r="A93" s="13" t="s">
        <v>359</v>
      </c>
      <c r="B93" s="13" t="s">
        <v>360</v>
      </c>
      <c r="C93" s="13" t="s">
        <v>361</v>
      </c>
      <c r="D93" s="13" t="s">
        <v>362</v>
      </c>
      <c r="E93" s="14" t="s">
        <v>25</v>
      </c>
      <c r="F93" s="24">
        <v>278100</v>
      </c>
      <c r="G93" s="24">
        <v>40130</v>
      </c>
    </row>
    <row r="94" ht="38.25" spans="1:7">
      <c r="A94" s="13" t="s">
        <v>363</v>
      </c>
      <c r="B94" s="13"/>
      <c r="C94" s="13" t="s">
        <v>364</v>
      </c>
      <c r="D94" s="13" t="s">
        <v>365</v>
      </c>
      <c r="E94" s="14" t="s">
        <v>25</v>
      </c>
      <c r="F94" s="24">
        <v>0</v>
      </c>
      <c r="G94" s="24">
        <v>30550</v>
      </c>
    </row>
    <row r="95" ht="38.25" spans="1:7">
      <c r="A95" s="13" t="s">
        <v>366</v>
      </c>
      <c r="B95" s="13"/>
      <c r="C95" s="13" t="s">
        <v>367</v>
      </c>
      <c r="D95" s="13" t="s">
        <v>368</v>
      </c>
      <c r="E95" s="14" t="s">
        <v>25</v>
      </c>
      <c r="F95" s="24">
        <v>0</v>
      </c>
      <c r="G95" s="24">
        <v>40030</v>
      </c>
    </row>
    <row r="96" ht="51" spans="1:7">
      <c r="A96" s="13" t="s">
        <v>369</v>
      </c>
      <c r="B96" s="13" t="s">
        <v>370</v>
      </c>
      <c r="C96" s="13" t="s">
        <v>371</v>
      </c>
      <c r="D96" s="13" t="s">
        <v>372</v>
      </c>
      <c r="E96" s="14" t="s">
        <v>373</v>
      </c>
      <c r="F96" s="24">
        <v>720000</v>
      </c>
      <c r="G96" s="24">
        <v>20540000</v>
      </c>
    </row>
    <row r="97" ht="51" spans="1:7">
      <c r="A97" s="13" t="s">
        <v>374</v>
      </c>
      <c r="B97" s="13" t="s">
        <v>375</v>
      </c>
      <c r="C97" s="13" t="s">
        <v>376</v>
      </c>
      <c r="D97" s="13" t="s">
        <v>377</v>
      </c>
      <c r="E97" s="14" t="s">
        <v>373</v>
      </c>
      <c r="F97" s="24">
        <v>1440000</v>
      </c>
      <c r="G97" s="24">
        <v>30810000</v>
      </c>
    </row>
    <row r="98" ht="51" spans="1:7">
      <c r="A98" s="13" t="s">
        <v>378</v>
      </c>
      <c r="B98" s="13" t="s">
        <v>379</v>
      </c>
      <c r="C98" s="13" t="s">
        <v>380</v>
      </c>
      <c r="D98" s="13" t="s">
        <v>381</v>
      </c>
      <c r="E98" s="14" t="s">
        <v>373</v>
      </c>
      <c r="F98" s="24">
        <v>2880000</v>
      </c>
      <c r="G98" s="24">
        <v>41080000</v>
      </c>
    </row>
    <row r="99" ht="76.5" spans="1:7">
      <c r="A99" s="13" t="s">
        <v>382</v>
      </c>
      <c r="B99" s="13" t="s">
        <v>383</v>
      </c>
      <c r="C99" s="13" t="s">
        <v>384</v>
      </c>
      <c r="D99" s="13" t="s">
        <v>385</v>
      </c>
      <c r="E99" s="14" t="s">
        <v>25</v>
      </c>
      <c r="F99" s="24">
        <v>309100</v>
      </c>
      <c r="G99" s="24">
        <v>223700</v>
      </c>
    </row>
    <row r="100" ht="76.5" spans="1:7">
      <c r="A100" s="13" t="s">
        <v>386</v>
      </c>
      <c r="B100" s="13" t="s">
        <v>387</v>
      </c>
      <c r="C100" s="13" t="s">
        <v>388</v>
      </c>
      <c r="D100" s="13" t="s">
        <v>389</v>
      </c>
      <c r="E100" s="14" t="s">
        <v>25</v>
      </c>
      <c r="F100" s="24">
        <v>618200</v>
      </c>
      <c r="G100" s="24">
        <v>447400</v>
      </c>
    </row>
    <row r="101" ht="51" spans="1:7">
      <c r="A101" s="13" t="s">
        <v>390</v>
      </c>
      <c r="B101" s="13" t="s">
        <v>391</v>
      </c>
      <c r="C101" s="13" t="s">
        <v>392</v>
      </c>
      <c r="D101" s="13" t="s">
        <v>393</v>
      </c>
      <c r="E101" s="14" t="s">
        <v>25</v>
      </c>
      <c r="F101" s="24">
        <v>307900</v>
      </c>
      <c r="G101" s="24">
        <v>223700</v>
      </c>
    </row>
    <row r="102" ht="51" spans="1:7">
      <c r="A102" s="13" t="s">
        <v>394</v>
      </c>
      <c r="B102" s="13" t="s">
        <v>395</v>
      </c>
      <c r="C102" s="13" t="s">
        <v>396</v>
      </c>
      <c r="D102" s="13" t="s">
        <v>397</v>
      </c>
      <c r="E102" s="14" t="s">
        <v>25</v>
      </c>
      <c r="F102" s="24">
        <v>616000</v>
      </c>
      <c r="G102" s="24">
        <v>447400</v>
      </c>
    </row>
    <row r="103" ht="51" spans="1:7">
      <c r="A103" s="13" t="s">
        <v>398</v>
      </c>
      <c r="B103" s="13" t="s">
        <v>399</v>
      </c>
      <c r="C103" s="13" t="s">
        <v>400</v>
      </c>
      <c r="D103" s="13" t="s">
        <v>401</v>
      </c>
      <c r="E103" s="14" t="s">
        <v>25</v>
      </c>
      <c r="F103" s="24">
        <v>1224000</v>
      </c>
      <c r="G103" s="24">
        <v>678300</v>
      </c>
    </row>
    <row r="104" ht="63.75" spans="1:7">
      <c r="A104" s="13" t="s">
        <v>402</v>
      </c>
      <c r="B104" s="13" t="s">
        <v>403</v>
      </c>
      <c r="C104" s="13" t="s">
        <v>404</v>
      </c>
      <c r="D104" s="13" t="s">
        <v>405</v>
      </c>
      <c r="E104" s="14" t="s">
        <v>25</v>
      </c>
      <c r="F104" s="24">
        <v>240000</v>
      </c>
      <c r="G104" s="24">
        <v>223700</v>
      </c>
    </row>
    <row r="105" ht="63.75" spans="1:7">
      <c r="A105" s="13" t="s">
        <v>406</v>
      </c>
      <c r="B105" s="13" t="s">
        <v>407</v>
      </c>
      <c r="C105" s="13" t="s">
        <v>408</v>
      </c>
      <c r="D105" s="13" t="s">
        <v>409</v>
      </c>
      <c r="E105" s="14" t="s">
        <v>25</v>
      </c>
      <c r="F105" s="24">
        <v>480000</v>
      </c>
      <c r="G105" s="24">
        <v>447400</v>
      </c>
    </row>
    <row r="106" ht="63.75" spans="1:7">
      <c r="A106" s="13" t="s">
        <v>410</v>
      </c>
      <c r="B106" s="13" t="s">
        <v>411</v>
      </c>
      <c r="C106" s="13" t="s">
        <v>412</v>
      </c>
      <c r="D106" s="13" t="s">
        <v>413</v>
      </c>
      <c r="E106" s="14" t="s">
        <v>25</v>
      </c>
      <c r="F106" s="24">
        <v>960000</v>
      </c>
      <c r="G106" s="24">
        <v>894900</v>
      </c>
    </row>
    <row r="107" ht="76.5" spans="1:7">
      <c r="A107" s="13" t="s">
        <v>414</v>
      </c>
      <c r="B107" s="13" t="s">
        <v>415</v>
      </c>
      <c r="C107" s="13" t="s">
        <v>416</v>
      </c>
      <c r="D107" s="13" t="s">
        <v>417</v>
      </c>
      <c r="E107" s="14" t="s">
        <v>25</v>
      </c>
      <c r="F107" s="24">
        <v>19150</v>
      </c>
      <c r="G107" s="24">
        <v>439100</v>
      </c>
    </row>
    <row r="108" ht="102" spans="1:7">
      <c r="A108" s="13" t="s">
        <v>418</v>
      </c>
      <c r="B108" s="13" t="s">
        <v>419</v>
      </c>
      <c r="C108" s="13" t="s">
        <v>420</v>
      </c>
      <c r="D108" s="13" t="s">
        <v>421</v>
      </c>
      <c r="E108" s="14" t="s">
        <v>25</v>
      </c>
      <c r="F108" s="24">
        <v>198900</v>
      </c>
      <c r="G108" s="24">
        <v>156600</v>
      </c>
    </row>
    <row r="109" ht="38.25" spans="1:7">
      <c r="A109" s="16" t="s">
        <v>422</v>
      </c>
      <c r="B109" s="13" t="s">
        <v>423</v>
      </c>
      <c r="C109" s="13" t="s">
        <v>424</v>
      </c>
      <c r="D109" s="16" t="s">
        <v>425</v>
      </c>
      <c r="E109" s="17" t="s">
        <v>25</v>
      </c>
      <c r="F109" s="24">
        <v>9390</v>
      </c>
      <c r="G109" s="24">
        <v>1290</v>
      </c>
    </row>
    <row r="110" ht="63.75" spans="1:7">
      <c r="A110" s="13" t="s">
        <v>426</v>
      </c>
      <c r="B110" s="13" t="s">
        <v>427</v>
      </c>
      <c r="C110" s="13" t="s">
        <v>428</v>
      </c>
      <c r="D110" s="13" t="s">
        <v>429</v>
      </c>
      <c r="E110" s="14" t="s">
        <v>25</v>
      </c>
      <c r="F110" s="24">
        <v>9700</v>
      </c>
      <c r="G110" s="24">
        <v>1440</v>
      </c>
    </row>
    <row r="111" ht="38.25" spans="1:7">
      <c r="A111" s="13" t="s">
        <v>430</v>
      </c>
      <c r="B111" s="13" t="s">
        <v>431</v>
      </c>
      <c r="C111" s="13" t="s">
        <v>432</v>
      </c>
      <c r="D111" s="13" t="s">
        <v>433</v>
      </c>
      <c r="E111" s="14" t="s">
        <v>25</v>
      </c>
      <c r="F111" s="24">
        <v>18810</v>
      </c>
      <c r="G111" s="24">
        <v>1740</v>
      </c>
    </row>
    <row r="112" ht="63.75" spans="1:7">
      <c r="A112" s="13" t="s">
        <v>434</v>
      </c>
      <c r="B112" s="13" t="s">
        <v>435</v>
      </c>
      <c r="C112" s="13" t="s">
        <v>436</v>
      </c>
      <c r="D112" s="13" t="s">
        <v>437</v>
      </c>
      <c r="E112" s="14" t="s">
        <v>25</v>
      </c>
      <c r="F112" s="24">
        <v>19270</v>
      </c>
      <c r="G112" s="24">
        <v>1740</v>
      </c>
    </row>
    <row r="113" ht="38.25" spans="1:7">
      <c r="A113" s="13" t="s">
        <v>438</v>
      </c>
      <c r="B113" s="13" t="s">
        <v>439</v>
      </c>
      <c r="C113" s="13" t="s">
        <v>440</v>
      </c>
      <c r="D113" s="13" t="s">
        <v>441</v>
      </c>
      <c r="E113" s="14" t="s">
        <v>25</v>
      </c>
      <c r="F113" s="24">
        <v>15830</v>
      </c>
      <c r="G113" s="24">
        <v>1440</v>
      </c>
    </row>
    <row r="114" ht="38.25" spans="1:7">
      <c r="A114" s="13" t="s">
        <v>442</v>
      </c>
      <c r="B114" s="13" t="s">
        <v>443</v>
      </c>
      <c r="C114" s="13" t="s">
        <v>444</v>
      </c>
      <c r="D114" s="13" t="s">
        <v>445</v>
      </c>
      <c r="E114" s="14" t="s">
        <v>25</v>
      </c>
      <c r="F114" s="24">
        <v>31680</v>
      </c>
      <c r="G114" s="24">
        <v>1740</v>
      </c>
    </row>
    <row r="115" ht="63.75" spans="1:7">
      <c r="A115" s="13" t="s">
        <v>446</v>
      </c>
      <c r="B115" s="13" t="s">
        <v>447</v>
      </c>
      <c r="C115" s="13" t="s">
        <v>448</v>
      </c>
      <c r="D115" s="13" t="s">
        <v>449</v>
      </c>
      <c r="E115" s="14" t="s">
        <v>25</v>
      </c>
      <c r="F115" s="24">
        <v>33880</v>
      </c>
      <c r="G115" s="24">
        <v>4390</v>
      </c>
    </row>
    <row r="116" ht="63.75" spans="1:7">
      <c r="A116" s="13" t="s">
        <v>450</v>
      </c>
      <c r="B116" s="13" t="s">
        <v>451</v>
      </c>
      <c r="C116" s="13" t="s">
        <v>452</v>
      </c>
      <c r="D116" s="13" t="s">
        <v>453</v>
      </c>
      <c r="E116" s="14" t="s">
        <v>25</v>
      </c>
      <c r="F116" s="24">
        <v>43590</v>
      </c>
      <c r="G116" s="24">
        <v>5120</v>
      </c>
    </row>
    <row r="117" ht="63.75" spans="1:7">
      <c r="A117" s="13" t="s">
        <v>454</v>
      </c>
      <c r="B117" s="13" t="s">
        <v>455</v>
      </c>
      <c r="C117" s="13" t="s">
        <v>456</v>
      </c>
      <c r="D117" s="13" t="s">
        <v>457</v>
      </c>
      <c r="E117" s="14" t="s">
        <v>25</v>
      </c>
      <c r="F117" s="24">
        <v>10410</v>
      </c>
      <c r="G117" s="24">
        <v>2510</v>
      </c>
    </row>
    <row r="118" ht="63.75" spans="1:7">
      <c r="A118" s="13" t="s">
        <v>458</v>
      </c>
      <c r="B118" s="13" t="s">
        <v>459</v>
      </c>
      <c r="C118" s="13" t="s">
        <v>460</v>
      </c>
      <c r="D118" s="13" t="s">
        <v>461</v>
      </c>
      <c r="E118" s="14" t="s">
        <v>25</v>
      </c>
      <c r="F118" s="24">
        <v>17600</v>
      </c>
      <c r="G118" s="24">
        <v>3250</v>
      </c>
    </row>
    <row r="119" ht="63.75" spans="1:7">
      <c r="A119" s="13" t="s">
        <v>462</v>
      </c>
      <c r="B119" s="13" t="s">
        <v>463</v>
      </c>
      <c r="C119" s="13" t="s">
        <v>464</v>
      </c>
      <c r="D119" s="13" t="s">
        <v>465</v>
      </c>
      <c r="E119" s="14" t="s">
        <v>25</v>
      </c>
      <c r="F119" s="24">
        <v>20510</v>
      </c>
      <c r="G119" s="24">
        <v>4090</v>
      </c>
    </row>
    <row r="120" ht="63.75" spans="1:7">
      <c r="A120" s="13" t="s">
        <v>466</v>
      </c>
      <c r="B120" s="13" t="s">
        <v>467</v>
      </c>
      <c r="C120" s="13" t="s">
        <v>468</v>
      </c>
      <c r="D120" s="13" t="s">
        <v>469</v>
      </c>
      <c r="E120" s="14" t="s">
        <v>25</v>
      </c>
      <c r="F120" s="24">
        <v>51920</v>
      </c>
      <c r="G120" s="24">
        <v>5840</v>
      </c>
    </row>
    <row r="121" ht="63.75" spans="1:7">
      <c r="A121" s="13" t="s">
        <v>470</v>
      </c>
      <c r="B121" s="13" t="s">
        <v>471</v>
      </c>
      <c r="C121" s="13" t="s">
        <v>472</v>
      </c>
      <c r="D121" s="13" t="s">
        <v>473</v>
      </c>
      <c r="E121" s="14" t="s">
        <v>25</v>
      </c>
      <c r="F121" s="24">
        <v>12320</v>
      </c>
      <c r="G121" s="24">
        <v>3310</v>
      </c>
    </row>
    <row r="122" ht="63.75" spans="1:7">
      <c r="A122" s="13" t="s">
        <v>474</v>
      </c>
      <c r="B122" s="13" t="s">
        <v>475</v>
      </c>
      <c r="C122" s="13" t="s">
        <v>476</v>
      </c>
      <c r="D122" s="13" t="s">
        <v>477</v>
      </c>
      <c r="E122" s="14" t="s">
        <v>25</v>
      </c>
      <c r="F122" s="24">
        <v>22790</v>
      </c>
      <c r="G122" s="24">
        <v>3790</v>
      </c>
    </row>
    <row r="123" ht="63.75" spans="1:7">
      <c r="A123" s="13" t="s">
        <v>478</v>
      </c>
      <c r="B123" s="13" t="s">
        <v>479</v>
      </c>
      <c r="C123" s="13" t="s">
        <v>480</v>
      </c>
      <c r="D123" s="13" t="s">
        <v>481</v>
      </c>
      <c r="E123" s="14" t="s">
        <v>25</v>
      </c>
      <c r="F123" s="24">
        <v>26840</v>
      </c>
      <c r="G123" s="24">
        <v>4700</v>
      </c>
    </row>
    <row r="124" ht="63.75" spans="1:7">
      <c r="A124" s="13" t="s">
        <v>482</v>
      </c>
      <c r="B124" s="13" t="s">
        <v>483</v>
      </c>
      <c r="C124" s="13" t="s">
        <v>484</v>
      </c>
      <c r="D124" s="13" t="s">
        <v>485</v>
      </c>
      <c r="E124" s="14" t="s">
        <v>25</v>
      </c>
      <c r="F124" s="24">
        <v>17600</v>
      </c>
      <c r="G124" s="24">
        <v>3790</v>
      </c>
    </row>
    <row r="125" ht="63.75" spans="1:7">
      <c r="A125" s="13" t="s">
        <v>486</v>
      </c>
      <c r="B125" s="13" t="s">
        <v>487</v>
      </c>
      <c r="C125" s="13" t="s">
        <v>488</v>
      </c>
      <c r="D125" s="13" t="s">
        <v>489</v>
      </c>
      <c r="E125" s="14" t="s">
        <v>25</v>
      </c>
      <c r="F125" s="24">
        <v>40390</v>
      </c>
      <c r="G125" s="24">
        <v>4330</v>
      </c>
    </row>
    <row r="126" ht="63.75" spans="1:7">
      <c r="A126" s="13" t="s">
        <v>490</v>
      </c>
      <c r="B126" s="13" t="s">
        <v>491</v>
      </c>
      <c r="C126" s="13" t="s">
        <v>492</v>
      </c>
      <c r="D126" s="13" t="s">
        <v>493</v>
      </c>
      <c r="E126" s="14" t="s">
        <v>25</v>
      </c>
      <c r="F126" s="24">
        <v>47780</v>
      </c>
      <c r="G126" s="24">
        <v>5800</v>
      </c>
    </row>
    <row r="127" ht="63.75" spans="1:7">
      <c r="A127" s="13" t="s">
        <v>494</v>
      </c>
      <c r="B127" s="13" t="s">
        <v>495</v>
      </c>
      <c r="C127" s="13" t="s">
        <v>496</v>
      </c>
      <c r="D127" s="13" t="s">
        <v>497</v>
      </c>
      <c r="E127" s="14" t="s">
        <v>25</v>
      </c>
      <c r="F127" s="24">
        <v>22790</v>
      </c>
      <c r="G127" s="24">
        <v>3820</v>
      </c>
    </row>
    <row r="128" ht="63.75" spans="1:7">
      <c r="A128" s="13" t="s">
        <v>498</v>
      </c>
      <c r="B128" s="13" t="s">
        <v>499</v>
      </c>
      <c r="C128" s="13" t="s">
        <v>500</v>
      </c>
      <c r="D128" s="13" t="s">
        <v>501</v>
      </c>
      <c r="E128" s="14" t="s">
        <v>25</v>
      </c>
      <c r="F128" s="24">
        <v>53860</v>
      </c>
      <c r="G128" s="24">
        <v>5000</v>
      </c>
    </row>
    <row r="129" ht="63.75" spans="1:7">
      <c r="A129" s="13" t="s">
        <v>502</v>
      </c>
      <c r="B129" s="13" t="s">
        <v>503</v>
      </c>
      <c r="C129" s="13" t="s">
        <v>504</v>
      </c>
      <c r="D129" s="13" t="s">
        <v>505</v>
      </c>
      <c r="E129" s="14" t="s">
        <v>25</v>
      </c>
      <c r="F129" s="24">
        <v>64060</v>
      </c>
      <c r="G129" s="24">
        <v>6260</v>
      </c>
    </row>
    <row r="130" ht="63.75" spans="1:7">
      <c r="A130" s="13" t="s">
        <v>506</v>
      </c>
      <c r="B130" s="13" t="s">
        <v>507</v>
      </c>
      <c r="C130" s="13" t="s">
        <v>508</v>
      </c>
      <c r="D130" s="13" t="s">
        <v>509</v>
      </c>
      <c r="E130" s="14" t="s">
        <v>25</v>
      </c>
      <c r="F130" s="24">
        <v>19160</v>
      </c>
      <c r="G130" s="24">
        <v>2990</v>
      </c>
    </row>
    <row r="131" ht="63.75" spans="1:7">
      <c r="A131" s="13" t="s">
        <v>510</v>
      </c>
      <c r="B131" s="13" t="s">
        <v>511</v>
      </c>
      <c r="C131" s="13" t="s">
        <v>512</v>
      </c>
      <c r="D131" s="13" t="s">
        <v>513</v>
      </c>
      <c r="E131" s="14" t="s">
        <v>25</v>
      </c>
      <c r="F131" s="24">
        <v>26700</v>
      </c>
      <c r="G131" s="24">
        <v>3490</v>
      </c>
    </row>
    <row r="132" ht="63.75" spans="1:7">
      <c r="A132" s="13" t="s">
        <v>514</v>
      </c>
      <c r="B132" s="13" t="s">
        <v>515</v>
      </c>
      <c r="C132" s="13" t="s">
        <v>516</v>
      </c>
      <c r="D132" s="13" t="s">
        <v>517</v>
      </c>
      <c r="E132" s="14" t="s">
        <v>25</v>
      </c>
      <c r="F132" s="24">
        <v>4170</v>
      </c>
      <c r="G132" s="24">
        <v>1710</v>
      </c>
    </row>
    <row r="133" ht="63.75" spans="1:7">
      <c r="A133" s="13" t="s">
        <v>518</v>
      </c>
      <c r="B133" s="13" t="s">
        <v>519</v>
      </c>
      <c r="C133" s="13" t="s">
        <v>520</v>
      </c>
      <c r="D133" s="13" t="s">
        <v>521</v>
      </c>
      <c r="E133" s="14" t="s">
        <v>25</v>
      </c>
      <c r="F133" s="24">
        <v>8470</v>
      </c>
      <c r="G133" s="24">
        <v>2210</v>
      </c>
    </row>
    <row r="134" ht="63.75" spans="1:7">
      <c r="A134" s="13" t="s">
        <v>522</v>
      </c>
      <c r="B134" s="13" t="s">
        <v>523</v>
      </c>
      <c r="C134" s="13" t="s">
        <v>524</v>
      </c>
      <c r="D134" s="13" t="s">
        <v>525</v>
      </c>
      <c r="E134" s="14" t="s">
        <v>25</v>
      </c>
      <c r="F134" s="24">
        <v>10000</v>
      </c>
      <c r="G134" s="24">
        <v>2790</v>
      </c>
    </row>
    <row r="135" ht="63.75" spans="1:7">
      <c r="A135" s="13" t="s">
        <v>526</v>
      </c>
      <c r="B135" s="13" t="s">
        <v>527</v>
      </c>
      <c r="C135" s="13" t="s">
        <v>528</v>
      </c>
      <c r="D135" s="13" t="s">
        <v>529</v>
      </c>
      <c r="E135" s="14" t="s">
        <v>25</v>
      </c>
      <c r="F135" s="24">
        <v>12500</v>
      </c>
      <c r="G135" s="24">
        <v>2790</v>
      </c>
    </row>
    <row r="136" ht="63.75" spans="1:7">
      <c r="A136" s="13" t="s">
        <v>530</v>
      </c>
      <c r="B136" s="13" t="s">
        <v>531</v>
      </c>
      <c r="C136" s="13" t="s">
        <v>532</v>
      </c>
      <c r="D136" s="13" t="s">
        <v>533</v>
      </c>
      <c r="E136" s="14" t="s">
        <v>25</v>
      </c>
      <c r="F136" s="24">
        <v>32620</v>
      </c>
      <c r="G136" s="24">
        <v>3980</v>
      </c>
    </row>
    <row r="137" ht="63.75" spans="1:7">
      <c r="A137" s="13" t="s">
        <v>534</v>
      </c>
      <c r="B137" s="13" t="s">
        <v>535</v>
      </c>
      <c r="C137" s="13" t="s">
        <v>536</v>
      </c>
      <c r="D137" s="13" t="s">
        <v>537</v>
      </c>
      <c r="E137" s="14" t="s">
        <v>25</v>
      </c>
      <c r="F137" s="24">
        <v>5680</v>
      </c>
      <c r="G137" s="24">
        <v>2260</v>
      </c>
    </row>
    <row r="138" ht="63.75" spans="1:7">
      <c r="A138" s="13" t="s">
        <v>538</v>
      </c>
      <c r="B138" s="13" t="s">
        <v>539</v>
      </c>
      <c r="C138" s="13" t="s">
        <v>540</v>
      </c>
      <c r="D138" s="13" t="s">
        <v>541</v>
      </c>
      <c r="E138" s="14" t="s">
        <v>25</v>
      </c>
      <c r="F138" s="24">
        <v>12090</v>
      </c>
      <c r="G138" s="24">
        <v>2580</v>
      </c>
    </row>
    <row r="139" ht="63.75" spans="1:7">
      <c r="A139" s="13" t="s">
        <v>542</v>
      </c>
      <c r="B139" s="13" t="s">
        <v>543</v>
      </c>
      <c r="C139" s="13" t="s">
        <v>544</v>
      </c>
      <c r="D139" s="13" t="s">
        <v>545</v>
      </c>
      <c r="E139" s="14" t="s">
        <v>25</v>
      </c>
      <c r="F139" s="24">
        <v>14410</v>
      </c>
      <c r="G139" s="24">
        <v>3200</v>
      </c>
    </row>
    <row r="140" ht="63.75" spans="1:7">
      <c r="A140" s="13" t="s">
        <v>546</v>
      </c>
      <c r="B140" s="13" t="s">
        <v>547</v>
      </c>
      <c r="C140" s="13" t="s">
        <v>548</v>
      </c>
      <c r="D140" s="13" t="s">
        <v>549</v>
      </c>
      <c r="E140" s="14" t="s">
        <v>25</v>
      </c>
      <c r="F140" s="24">
        <v>18030</v>
      </c>
      <c r="G140" s="24">
        <v>3200</v>
      </c>
    </row>
    <row r="141" ht="63.75" spans="1:7">
      <c r="A141" s="13" t="s">
        <v>550</v>
      </c>
      <c r="B141" s="13" t="s">
        <v>551</v>
      </c>
      <c r="C141" s="13" t="s">
        <v>552</v>
      </c>
      <c r="D141" s="13" t="s">
        <v>553</v>
      </c>
      <c r="E141" s="14" t="s">
        <v>25</v>
      </c>
      <c r="F141" s="24">
        <v>8970</v>
      </c>
      <c r="G141" s="24">
        <v>2580</v>
      </c>
    </row>
    <row r="142" ht="63.75" spans="1:7">
      <c r="A142" s="13" t="s">
        <v>554</v>
      </c>
      <c r="B142" s="13" t="s">
        <v>555</v>
      </c>
      <c r="C142" s="13" t="s">
        <v>556</v>
      </c>
      <c r="D142" s="13" t="s">
        <v>557</v>
      </c>
      <c r="E142" s="14" t="s">
        <v>25</v>
      </c>
      <c r="F142" s="24">
        <v>21540</v>
      </c>
      <c r="G142" s="24">
        <v>2950</v>
      </c>
    </row>
    <row r="143" ht="63.75" spans="1:7">
      <c r="A143" s="13" t="s">
        <v>558</v>
      </c>
      <c r="B143" s="13" t="s">
        <v>559</v>
      </c>
      <c r="C143" s="13" t="s">
        <v>560</v>
      </c>
      <c r="D143" s="13" t="s">
        <v>561</v>
      </c>
      <c r="E143" s="14" t="s">
        <v>25</v>
      </c>
      <c r="F143" s="24">
        <v>25850</v>
      </c>
      <c r="G143" s="24">
        <v>3980</v>
      </c>
    </row>
    <row r="144" ht="63.75" spans="1:7">
      <c r="A144" s="13" t="s">
        <v>562</v>
      </c>
      <c r="B144" s="13" t="s">
        <v>563</v>
      </c>
      <c r="C144" s="13" t="s">
        <v>564</v>
      </c>
      <c r="D144" s="13" t="s">
        <v>565</v>
      </c>
      <c r="E144" s="14" t="s">
        <v>25</v>
      </c>
      <c r="F144" s="24">
        <v>12740</v>
      </c>
      <c r="G144" s="24">
        <v>2600</v>
      </c>
    </row>
    <row r="145" ht="63.75" spans="1:7">
      <c r="A145" s="13" t="s">
        <v>566</v>
      </c>
      <c r="B145" s="13" t="s">
        <v>567</v>
      </c>
      <c r="C145" s="13" t="s">
        <v>568</v>
      </c>
      <c r="D145" s="13" t="s">
        <v>569</v>
      </c>
      <c r="E145" s="14" t="s">
        <v>25</v>
      </c>
      <c r="F145" s="24">
        <v>31530</v>
      </c>
      <c r="G145" s="24">
        <v>3410</v>
      </c>
    </row>
    <row r="146" ht="63.75" spans="1:7">
      <c r="A146" s="13" t="s">
        <v>570</v>
      </c>
      <c r="B146" s="13" t="s">
        <v>571</v>
      </c>
      <c r="C146" s="13" t="s">
        <v>572</v>
      </c>
      <c r="D146" s="13" t="s">
        <v>573</v>
      </c>
      <c r="E146" s="14" t="s">
        <v>25</v>
      </c>
      <c r="F146" s="24">
        <v>38040</v>
      </c>
      <c r="G146" s="24">
        <v>4270</v>
      </c>
    </row>
    <row r="147" ht="25.5" spans="1:7">
      <c r="A147" s="13" t="s">
        <v>574</v>
      </c>
      <c r="B147" s="13" t="s">
        <v>575</v>
      </c>
      <c r="C147" s="13" t="s">
        <v>576</v>
      </c>
      <c r="D147" s="13" t="s">
        <v>577</v>
      </c>
      <c r="E147" s="14" t="s">
        <v>126</v>
      </c>
      <c r="F147" s="24">
        <v>10080</v>
      </c>
      <c r="G147" s="24">
        <v>480</v>
      </c>
    </row>
    <row r="148" ht="25.5" spans="1:7">
      <c r="A148" s="13" t="s">
        <v>578</v>
      </c>
      <c r="B148" s="13" t="s">
        <v>579</v>
      </c>
      <c r="C148" s="13" t="s">
        <v>580</v>
      </c>
      <c r="D148" s="13" t="s">
        <v>581</v>
      </c>
      <c r="E148" s="14" t="s">
        <v>126</v>
      </c>
      <c r="F148" s="24">
        <v>10080</v>
      </c>
      <c r="G148" s="24">
        <v>480</v>
      </c>
    </row>
    <row r="149" ht="25.5" spans="1:7">
      <c r="A149" s="13" t="s">
        <v>582</v>
      </c>
      <c r="B149" s="13" t="s">
        <v>583</v>
      </c>
      <c r="C149" s="13" t="s">
        <v>584</v>
      </c>
      <c r="D149" s="13" t="s">
        <v>585</v>
      </c>
      <c r="E149" s="14" t="s">
        <v>126</v>
      </c>
      <c r="F149" s="24">
        <v>10080</v>
      </c>
      <c r="G149" s="24">
        <v>480</v>
      </c>
    </row>
    <row r="150" ht="25.5" spans="1:7">
      <c r="A150" s="13" t="s">
        <v>586</v>
      </c>
      <c r="B150" s="13" t="s">
        <v>587</v>
      </c>
      <c r="C150" s="13" t="s">
        <v>588</v>
      </c>
      <c r="D150" s="13" t="s">
        <v>589</v>
      </c>
      <c r="E150" s="14" t="s">
        <v>126</v>
      </c>
      <c r="F150" s="24">
        <v>18350</v>
      </c>
      <c r="G150" s="24">
        <v>480</v>
      </c>
    </row>
    <row r="151" ht="25.5" spans="1:7">
      <c r="A151" s="13" t="s">
        <v>590</v>
      </c>
      <c r="B151" s="13" t="s">
        <v>591</v>
      </c>
      <c r="C151" s="13" t="s">
        <v>592</v>
      </c>
      <c r="D151" s="13" t="s">
        <v>593</v>
      </c>
      <c r="E151" s="14" t="s">
        <v>126</v>
      </c>
      <c r="F151" s="24">
        <v>19360</v>
      </c>
      <c r="G151" s="24">
        <v>480</v>
      </c>
    </row>
    <row r="152" ht="25.5" spans="1:7">
      <c r="A152" s="13" t="s">
        <v>594</v>
      </c>
      <c r="B152" s="13" t="s">
        <v>595</v>
      </c>
      <c r="C152" s="13" t="s">
        <v>596</v>
      </c>
      <c r="D152" s="13" t="s">
        <v>597</v>
      </c>
      <c r="E152" s="14" t="s">
        <v>126</v>
      </c>
      <c r="F152" s="24">
        <v>17430</v>
      </c>
      <c r="G152" s="24">
        <v>480</v>
      </c>
    </row>
    <row r="153" ht="38.25" spans="1:7">
      <c r="A153" s="13" t="s">
        <v>598</v>
      </c>
      <c r="B153" s="13"/>
      <c r="C153" s="13" t="s">
        <v>599</v>
      </c>
      <c r="D153" s="13" t="s">
        <v>600</v>
      </c>
      <c r="E153" s="14" t="s">
        <v>25</v>
      </c>
      <c r="F153" s="24">
        <v>0</v>
      </c>
      <c r="G153" s="24">
        <v>1860</v>
      </c>
    </row>
    <row r="154" ht="25.5" spans="1:7">
      <c r="A154" s="13" t="s">
        <v>601</v>
      </c>
      <c r="B154" s="13" t="s">
        <v>602</v>
      </c>
      <c r="C154" s="13" t="s">
        <v>603</v>
      </c>
      <c r="D154" s="13" t="s">
        <v>604</v>
      </c>
      <c r="E154" s="14" t="s">
        <v>25</v>
      </c>
      <c r="F154" s="24">
        <v>28030</v>
      </c>
      <c r="G154" s="24">
        <v>74570</v>
      </c>
    </row>
    <row r="155" ht="25.5" spans="1:7">
      <c r="A155" s="13" t="s">
        <v>605</v>
      </c>
      <c r="B155" s="13" t="s">
        <v>606</v>
      </c>
      <c r="C155" s="13" t="s">
        <v>607</v>
      </c>
      <c r="D155" s="13" t="s">
        <v>608</v>
      </c>
      <c r="E155" s="14" t="s">
        <v>609</v>
      </c>
      <c r="F155" s="24">
        <v>821600</v>
      </c>
      <c r="G155" s="24">
        <v>671100</v>
      </c>
    </row>
    <row r="156" ht="63.75" spans="1:7">
      <c r="A156" s="13" t="s">
        <v>610</v>
      </c>
      <c r="B156" s="13" t="s">
        <v>611</v>
      </c>
      <c r="C156" s="13" t="s">
        <v>612</v>
      </c>
      <c r="D156" s="13" t="s">
        <v>613</v>
      </c>
      <c r="E156" s="14" t="s">
        <v>25</v>
      </c>
      <c r="F156" s="24">
        <v>240000</v>
      </c>
      <c r="G156" s="24">
        <v>55930</v>
      </c>
    </row>
    <row r="157" ht="63.75" spans="1:7">
      <c r="A157" s="13" t="s">
        <v>614</v>
      </c>
      <c r="B157" s="13" t="s">
        <v>615</v>
      </c>
      <c r="C157" s="13" t="s">
        <v>616</v>
      </c>
      <c r="D157" s="13" t="s">
        <v>617</v>
      </c>
      <c r="E157" s="14" t="s">
        <v>25</v>
      </c>
      <c r="F157" s="24">
        <v>480000</v>
      </c>
      <c r="G157" s="24">
        <v>74570</v>
      </c>
    </row>
    <row r="158" ht="63.75" spans="1:7">
      <c r="A158" s="13" t="s">
        <v>618</v>
      </c>
      <c r="B158" s="13" t="s">
        <v>619</v>
      </c>
      <c r="C158" s="13" t="s">
        <v>620</v>
      </c>
      <c r="D158" s="13" t="s">
        <v>621</v>
      </c>
      <c r="E158" s="14" t="s">
        <v>25</v>
      </c>
      <c r="F158" s="24">
        <v>720000</v>
      </c>
      <c r="G158" s="24">
        <v>111800</v>
      </c>
    </row>
    <row r="159" ht="51" spans="1:7">
      <c r="A159" s="13" t="s">
        <v>622</v>
      </c>
      <c r="B159" s="13" t="s">
        <v>623</v>
      </c>
      <c r="C159" s="13" t="s">
        <v>624</v>
      </c>
      <c r="D159" s="13" t="s">
        <v>625</v>
      </c>
      <c r="E159" s="14" t="s">
        <v>25</v>
      </c>
      <c r="F159" s="24">
        <v>45660</v>
      </c>
      <c r="G159" s="24">
        <v>55930</v>
      </c>
    </row>
    <row r="160" ht="51" spans="1:7">
      <c r="A160" s="13" t="s">
        <v>626</v>
      </c>
      <c r="B160" s="13" t="s">
        <v>627</v>
      </c>
      <c r="C160" s="13" t="s">
        <v>628</v>
      </c>
      <c r="D160" s="13" t="s">
        <v>629</v>
      </c>
      <c r="E160" s="14" t="s">
        <v>25</v>
      </c>
      <c r="F160" s="24">
        <v>91290</v>
      </c>
      <c r="G160" s="24">
        <v>74690</v>
      </c>
    </row>
    <row r="161" ht="51" spans="1:7">
      <c r="A161" s="13" t="s">
        <v>630</v>
      </c>
      <c r="B161" s="13" t="s">
        <v>631</v>
      </c>
      <c r="C161" s="13" t="s">
        <v>632</v>
      </c>
      <c r="D161" s="13" t="s">
        <v>633</v>
      </c>
      <c r="E161" s="14" t="s">
        <v>25</v>
      </c>
      <c r="F161" s="24">
        <v>44150</v>
      </c>
      <c r="G161" s="24">
        <v>55930</v>
      </c>
    </row>
    <row r="162" ht="51" spans="1:7">
      <c r="A162" s="13" t="s">
        <v>634</v>
      </c>
      <c r="B162" s="13" t="s">
        <v>635</v>
      </c>
      <c r="C162" s="13" t="s">
        <v>636</v>
      </c>
      <c r="D162" s="13" t="s">
        <v>637</v>
      </c>
      <c r="E162" s="14" t="s">
        <v>25</v>
      </c>
      <c r="F162" s="24">
        <v>88750</v>
      </c>
      <c r="G162" s="24">
        <v>74570</v>
      </c>
    </row>
    <row r="163" ht="51" spans="1:7">
      <c r="A163" s="13" t="s">
        <v>638</v>
      </c>
      <c r="B163" s="13"/>
      <c r="C163" s="13" t="s">
        <v>639</v>
      </c>
      <c r="D163" s="13" t="s">
        <v>640</v>
      </c>
      <c r="E163" s="14" t="s">
        <v>225</v>
      </c>
      <c r="F163" s="24">
        <v>0</v>
      </c>
      <c r="G163" s="24">
        <v>12020</v>
      </c>
    </row>
    <row r="164" ht="51" spans="1:7">
      <c r="A164" s="13" t="s">
        <v>641</v>
      </c>
      <c r="B164" s="13"/>
      <c r="C164" s="13" t="s">
        <v>642</v>
      </c>
      <c r="D164" s="13" t="s">
        <v>643</v>
      </c>
      <c r="E164" s="14" t="s">
        <v>644</v>
      </c>
      <c r="F164" s="24">
        <v>0</v>
      </c>
      <c r="G164" s="24">
        <v>3007000</v>
      </c>
    </row>
    <row r="165" ht="25.5" spans="1:7">
      <c r="A165" s="13" t="s">
        <v>645</v>
      </c>
      <c r="B165" s="13"/>
      <c r="C165" s="13" t="s">
        <v>646</v>
      </c>
      <c r="D165" s="13" t="s">
        <v>647</v>
      </c>
      <c r="E165" s="14" t="s">
        <v>648</v>
      </c>
      <c r="F165" s="24">
        <v>0</v>
      </c>
      <c r="G165" s="24">
        <v>10240</v>
      </c>
    </row>
    <row r="166" ht="25.5" spans="1:7">
      <c r="A166" s="13" t="s">
        <v>649</v>
      </c>
      <c r="B166" s="13"/>
      <c r="C166" s="13" t="s">
        <v>650</v>
      </c>
      <c r="D166" s="13" t="s">
        <v>651</v>
      </c>
      <c r="E166" s="14" t="s">
        <v>135</v>
      </c>
      <c r="F166" s="24">
        <v>0</v>
      </c>
      <c r="G166" s="24">
        <v>35370</v>
      </c>
    </row>
    <row r="167" spans="1:7">
      <c r="A167" s="13" t="s">
        <v>652</v>
      </c>
      <c r="B167" s="13"/>
      <c r="C167" s="13" t="s">
        <v>653</v>
      </c>
      <c r="D167" s="13" t="s">
        <v>654</v>
      </c>
      <c r="E167" s="14" t="s">
        <v>135</v>
      </c>
      <c r="F167" s="24">
        <v>0</v>
      </c>
      <c r="G167" s="24">
        <v>12020</v>
      </c>
    </row>
    <row r="168" spans="1:7">
      <c r="A168" s="13" t="s">
        <v>655</v>
      </c>
      <c r="B168" s="13"/>
      <c r="C168" s="13" t="s">
        <v>656</v>
      </c>
      <c r="D168" s="13" t="s">
        <v>657</v>
      </c>
      <c r="E168" s="14" t="s">
        <v>648</v>
      </c>
      <c r="F168" s="24">
        <v>0</v>
      </c>
      <c r="G168" s="24">
        <v>4860</v>
      </c>
    </row>
    <row r="169" ht="25.5" spans="1:7">
      <c r="A169" s="13" t="s">
        <v>658</v>
      </c>
      <c r="B169" s="13"/>
      <c r="C169" s="13" t="s">
        <v>659</v>
      </c>
      <c r="D169" s="13" t="s">
        <v>660</v>
      </c>
      <c r="E169" s="14" t="s">
        <v>135</v>
      </c>
      <c r="F169" s="24">
        <v>0</v>
      </c>
      <c r="G169" s="24">
        <v>30070</v>
      </c>
    </row>
    <row r="170" ht="25.5" spans="1:7">
      <c r="A170" s="13" t="s">
        <v>661</v>
      </c>
      <c r="B170" s="13"/>
      <c r="C170" s="13" t="s">
        <v>662</v>
      </c>
      <c r="D170" s="13" t="s">
        <v>663</v>
      </c>
      <c r="E170" s="14" t="s">
        <v>664</v>
      </c>
      <c r="F170" s="24">
        <v>0</v>
      </c>
      <c r="G170" s="24">
        <v>16720</v>
      </c>
    </row>
    <row r="171" spans="1:7">
      <c r="A171" s="13" t="s">
        <v>665</v>
      </c>
      <c r="B171" s="13"/>
      <c r="C171" s="13" t="s">
        <v>666</v>
      </c>
      <c r="D171" s="13" t="s">
        <v>667</v>
      </c>
      <c r="E171" s="14" t="s">
        <v>135</v>
      </c>
      <c r="F171" s="24">
        <v>0</v>
      </c>
      <c r="G171" s="24">
        <v>9390</v>
      </c>
    </row>
    <row r="172" spans="1:7">
      <c r="A172" s="13" t="s">
        <v>668</v>
      </c>
      <c r="B172" s="13" t="s">
        <v>669</v>
      </c>
      <c r="C172" s="13" t="s">
        <v>670</v>
      </c>
      <c r="D172" s="13" t="s">
        <v>671</v>
      </c>
      <c r="E172" s="14" t="s">
        <v>135</v>
      </c>
      <c r="F172" s="24">
        <v>6870</v>
      </c>
      <c r="G172" s="24">
        <v>1610</v>
      </c>
    </row>
    <row r="173" spans="1:7">
      <c r="A173" s="13" t="s">
        <v>672</v>
      </c>
      <c r="B173" s="13" t="s">
        <v>673</v>
      </c>
      <c r="C173" s="13" t="s">
        <v>674</v>
      </c>
      <c r="D173" s="13" t="s">
        <v>675</v>
      </c>
      <c r="E173" s="14" t="s">
        <v>135</v>
      </c>
      <c r="F173" s="24">
        <v>2350</v>
      </c>
      <c r="G173" s="24">
        <v>630</v>
      </c>
    </row>
    <row r="174" ht="63.75" spans="1:7">
      <c r="A174" s="13" t="s">
        <v>676</v>
      </c>
      <c r="B174" s="13"/>
      <c r="C174" s="13" t="s">
        <v>677</v>
      </c>
      <c r="D174" s="13" t="s">
        <v>678</v>
      </c>
      <c r="E174" s="14" t="s">
        <v>249</v>
      </c>
      <c r="F174" s="24">
        <v>0</v>
      </c>
      <c r="G174" s="24">
        <v>86330</v>
      </c>
    </row>
    <row r="175" ht="38.25" spans="1:7">
      <c r="A175" s="13" t="s">
        <v>679</v>
      </c>
      <c r="B175" s="13" t="s">
        <v>680</v>
      </c>
      <c r="C175" s="13" t="s">
        <v>681</v>
      </c>
      <c r="D175" s="13" t="s">
        <v>682</v>
      </c>
      <c r="E175" s="14" t="s">
        <v>126</v>
      </c>
      <c r="F175" s="24">
        <v>35200</v>
      </c>
      <c r="G175" s="24">
        <v>56260</v>
      </c>
    </row>
    <row r="176" ht="25.5" spans="1:7">
      <c r="A176" s="13" t="s">
        <v>683</v>
      </c>
      <c r="B176" s="13" t="s">
        <v>684</v>
      </c>
      <c r="C176" s="13" t="s">
        <v>685</v>
      </c>
      <c r="D176" s="13" t="s">
        <v>686</v>
      </c>
      <c r="E176" s="14" t="s">
        <v>25</v>
      </c>
      <c r="F176" s="24">
        <v>13910</v>
      </c>
      <c r="G176" s="24">
        <v>1860</v>
      </c>
    </row>
    <row r="177" ht="25.5" spans="1:7">
      <c r="A177" s="13" t="s">
        <v>687</v>
      </c>
      <c r="B177" s="13" t="s">
        <v>688</v>
      </c>
      <c r="C177" s="13" t="s">
        <v>689</v>
      </c>
      <c r="D177" s="13" t="s">
        <v>690</v>
      </c>
      <c r="E177" s="14" t="s">
        <v>25</v>
      </c>
      <c r="F177" s="24">
        <v>26060</v>
      </c>
      <c r="G177" s="24">
        <v>1860</v>
      </c>
    </row>
    <row r="178" ht="25.5" spans="1:7">
      <c r="A178" s="13" t="s">
        <v>691</v>
      </c>
      <c r="B178" s="13" t="s">
        <v>692</v>
      </c>
      <c r="C178" s="13" t="s">
        <v>693</v>
      </c>
      <c r="D178" s="13" t="s">
        <v>694</v>
      </c>
      <c r="E178" s="14" t="s">
        <v>25</v>
      </c>
      <c r="F178" s="24">
        <v>46570</v>
      </c>
      <c r="G178" s="24">
        <v>1860</v>
      </c>
    </row>
    <row r="179" ht="25.5" spans="1:7">
      <c r="A179" s="13" t="s">
        <v>695</v>
      </c>
      <c r="B179" s="13" t="s">
        <v>696</v>
      </c>
      <c r="C179" s="13" t="s">
        <v>697</v>
      </c>
      <c r="D179" s="13" t="s">
        <v>698</v>
      </c>
      <c r="E179" s="14" t="s">
        <v>25</v>
      </c>
      <c r="F179" s="24">
        <v>4810</v>
      </c>
      <c r="G179" s="24">
        <v>970</v>
      </c>
    </row>
    <row r="180" ht="51" spans="1:7">
      <c r="A180" s="13" t="s">
        <v>699</v>
      </c>
      <c r="B180" s="13" t="s">
        <v>700</v>
      </c>
      <c r="C180" s="13" t="s">
        <v>701</v>
      </c>
      <c r="D180" s="13" t="s">
        <v>702</v>
      </c>
      <c r="E180" s="14" t="s">
        <v>126</v>
      </c>
      <c r="F180" s="24">
        <v>276300</v>
      </c>
      <c r="G180" s="24">
        <v>369300</v>
      </c>
    </row>
    <row r="181" ht="25.5" spans="1:7">
      <c r="A181" s="13" t="s">
        <v>703</v>
      </c>
      <c r="B181" s="13"/>
      <c r="C181" s="13" t="s">
        <v>704</v>
      </c>
      <c r="D181" s="13" t="s">
        <v>705</v>
      </c>
      <c r="E181" s="14" t="s">
        <v>706</v>
      </c>
      <c r="F181" s="24">
        <v>0</v>
      </c>
      <c r="G181" s="24">
        <v>14480</v>
      </c>
    </row>
    <row r="182" ht="38.25" spans="1:7">
      <c r="A182" s="13" t="s">
        <v>707</v>
      </c>
      <c r="B182" s="13" t="s">
        <v>708</v>
      </c>
      <c r="C182" s="13" t="s">
        <v>709</v>
      </c>
      <c r="D182" s="13" t="s">
        <v>710</v>
      </c>
      <c r="E182" s="14" t="s">
        <v>711</v>
      </c>
      <c r="F182" s="24">
        <v>72610</v>
      </c>
      <c r="G182" s="24">
        <v>8710</v>
      </c>
    </row>
    <row r="183" ht="76.5" spans="1:7">
      <c r="A183" s="13" t="s">
        <v>712</v>
      </c>
      <c r="B183" s="13" t="s">
        <v>713</v>
      </c>
      <c r="C183" s="13" t="s">
        <v>714</v>
      </c>
      <c r="D183" s="13" t="s">
        <v>715</v>
      </c>
      <c r="E183" s="14" t="s">
        <v>215</v>
      </c>
      <c r="F183" s="24">
        <v>11250000</v>
      </c>
      <c r="G183" s="24">
        <v>334900</v>
      </c>
    </row>
    <row r="184" ht="38.25" spans="1:7">
      <c r="A184" s="13" t="s">
        <v>716</v>
      </c>
      <c r="B184" s="13" t="s">
        <v>717</v>
      </c>
      <c r="C184" s="13" t="s">
        <v>718</v>
      </c>
      <c r="D184" s="13" t="s">
        <v>719</v>
      </c>
      <c r="E184" s="14" t="s">
        <v>720</v>
      </c>
      <c r="F184" s="24">
        <v>159200</v>
      </c>
      <c r="G184" s="24">
        <v>119100</v>
      </c>
    </row>
    <row r="185" spans="1:7">
      <c r="A185" s="13" t="s">
        <v>721</v>
      </c>
      <c r="B185" s="13" t="s">
        <v>722</v>
      </c>
      <c r="C185" s="13" t="s">
        <v>723</v>
      </c>
      <c r="D185" s="13" t="s">
        <v>724</v>
      </c>
      <c r="E185" s="14" t="s">
        <v>711</v>
      </c>
      <c r="F185" s="24">
        <v>368200</v>
      </c>
      <c r="G185" s="24">
        <v>53630</v>
      </c>
    </row>
    <row r="186" ht="25.5" spans="1:7">
      <c r="A186" s="13" t="s">
        <v>725</v>
      </c>
      <c r="B186" s="13"/>
      <c r="C186" s="13" t="s">
        <v>726</v>
      </c>
      <c r="D186" s="13" t="s">
        <v>727</v>
      </c>
      <c r="E186" s="14" t="s">
        <v>202</v>
      </c>
      <c r="F186" s="24">
        <v>0</v>
      </c>
      <c r="G186" s="24">
        <v>35370</v>
      </c>
    </row>
    <row r="187" spans="1:7">
      <c r="A187" s="13" t="s">
        <v>728</v>
      </c>
      <c r="B187" s="13"/>
      <c r="C187" s="13" t="s">
        <v>729</v>
      </c>
      <c r="D187" s="13" t="s">
        <v>730</v>
      </c>
      <c r="E187" s="14" t="s">
        <v>314</v>
      </c>
      <c r="F187" s="24">
        <v>0</v>
      </c>
      <c r="G187" s="24">
        <v>2200</v>
      </c>
    </row>
    <row r="188" ht="25.5" spans="1:7">
      <c r="A188" s="13" t="s">
        <v>731</v>
      </c>
      <c r="B188" s="13" t="s">
        <v>732</v>
      </c>
      <c r="C188" s="13" t="s">
        <v>733</v>
      </c>
      <c r="D188" s="13" t="s">
        <v>734</v>
      </c>
      <c r="E188" s="14" t="s">
        <v>126</v>
      </c>
      <c r="F188" s="24">
        <v>0</v>
      </c>
      <c r="G188" s="24">
        <v>1000</v>
      </c>
    </row>
    <row r="189" ht="25.5" spans="1:7">
      <c r="A189" s="13" t="s">
        <v>735</v>
      </c>
      <c r="B189" s="13" t="s">
        <v>736</v>
      </c>
      <c r="C189" s="13" t="s">
        <v>737</v>
      </c>
      <c r="D189" s="13" t="s">
        <v>738</v>
      </c>
      <c r="E189" s="14" t="s">
        <v>720</v>
      </c>
      <c r="F189" s="24">
        <v>59150</v>
      </c>
      <c r="G189" s="24">
        <v>117200</v>
      </c>
    </row>
    <row r="190" ht="25.5" spans="1:7">
      <c r="A190" s="13" t="s">
        <v>739</v>
      </c>
      <c r="B190" s="13"/>
      <c r="C190" s="13" t="s">
        <v>740</v>
      </c>
      <c r="D190" s="13" t="s">
        <v>741</v>
      </c>
      <c r="E190" s="14" t="s">
        <v>706</v>
      </c>
      <c r="F190" s="24">
        <v>0</v>
      </c>
      <c r="G190" s="24">
        <v>9650</v>
      </c>
    </row>
    <row r="191" ht="25.5" spans="1:7">
      <c r="A191" s="13" t="s">
        <v>742</v>
      </c>
      <c r="B191" s="13"/>
      <c r="C191" s="13" t="s">
        <v>743</v>
      </c>
      <c r="D191" s="13" t="s">
        <v>744</v>
      </c>
      <c r="E191" s="14" t="s">
        <v>314</v>
      </c>
      <c r="F191" s="24">
        <v>0</v>
      </c>
      <c r="G191" s="24">
        <v>14160</v>
      </c>
    </row>
    <row r="192" spans="1:7">
      <c r="A192" s="13" t="s">
        <v>745</v>
      </c>
      <c r="B192" s="13"/>
      <c r="C192" s="13" t="s">
        <v>746</v>
      </c>
      <c r="D192" s="13" t="s">
        <v>747</v>
      </c>
      <c r="E192" s="14" t="s">
        <v>126</v>
      </c>
      <c r="F192" s="24">
        <v>0</v>
      </c>
      <c r="G192" s="24">
        <v>2410</v>
      </c>
    </row>
    <row r="193" ht="25.5" spans="1:7">
      <c r="A193" s="13" t="s">
        <v>748</v>
      </c>
      <c r="B193" s="13" t="s">
        <v>749</v>
      </c>
      <c r="C193" s="13" t="s">
        <v>750</v>
      </c>
      <c r="D193" s="13" t="s">
        <v>751</v>
      </c>
      <c r="E193" s="14" t="s">
        <v>25</v>
      </c>
      <c r="F193" s="24">
        <v>2005000</v>
      </c>
      <c r="G193" s="24">
        <v>58290</v>
      </c>
    </row>
    <row r="194" ht="25.5" spans="1:7">
      <c r="A194" s="13" t="s">
        <v>752</v>
      </c>
      <c r="B194" s="13" t="s">
        <v>753</v>
      </c>
      <c r="C194" s="13" t="s">
        <v>754</v>
      </c>
      <c r="D194" s="13" t="s">
        <v>755</v>
      </c>
      <c r="E194" s="14" t="s">
        <v>720</v>
      </c>
      <c r="F194" s="24">
        <v>129400</v>
      </c>
      <c r="G194" s="24">
        <v>76720</v>
      </c>
    </row>
    <row r="195" spans="1:7">
      <c r="A195" s="13" t="s">
        <v>756</v>
      </c>
      <c r="B195" s="13" t="s">
        <v>757</v>
      </c>
      <c r="C195" s="13" t="s">
        <v>758</v>
      </c>
      <c r="D195" s="13" t="s">
        <v>759</v>
      </c>
      <c r="E195" s="14" t="s">
        <v>711</v>
      </c>
      <c r="F195" s="24">
        <v>164800</v>
      </c>
      <c r="G195" s="24">
        <v>53450</v>
      </c>
    </row>
    <row r="196" ht="25.5" spans="1:7">
      <c r="A196" s="13" t="s">
        <v>760</v>
      </c>
      <c r="B196" s="13"/>
      <c r="C196" s="13" t="s">
        <v>761</v>
      </c>
      <c r="D196" s="13" t="s">
        <v>762</v>
      </c>
      <c r="E196" s="14" t="s">
        <v>763</v>
      </c>
      <c r="F196" s="24">
        <v>0</v>
      </c>
      <c r="G196" s="24">
        <v>8970</v>
      </c>
    </row>
    <row r="197" ht="25.5" spans="1:7">
      <c r="A197" s="13" t="s">
        <v>764</v>
      </c>
      <c r="B197" s="13" t="s">
        <v>765</v>
      </c>
      <c r="C197" s="13" t="s">
        <v>766</v>
      </c>
      <c r="D197" s="13" t="s">
        <v>767</v>
      </c>
      <c r="E197" s="14" t="s">
        <v>711</v>
      </c>
      <c r="F197" s="24">
        <v>411300</v>
      </c>
      <c r="G197" s="24">
        <v>53580</v>
      </c>
    </row>
    <row r="198" ht="89.25" spans="1:7">
      <c r="A198" s="13" t="s">
        <v>768</v>
      </c>
      <c r="B198" s="13"/>
      <c r="C198" s="13" t="s">
        <v>769</v>
      </c>
      <c r="D198" s="13" t="s">
        <v>770</v>
      </c>
      <c r="E198" s="14" t="s">
        <v>225</v>
      </c>
      <c r="F198" s="24">
        <v>0</v>
      </c>
      <c r="G198" s="24">
        <v>8503000</v>
      </c>
    </row>
    <row r="199" ht="89.25" spans="1:7">
      <c r="A199" s="13" t="s">
        <v>771</v>
      </c>
      <c r="B199" s="13"/>
      <c r="C199" s="13" t="s">
        <v>772</v>
      </c>
      <c r="D199" s="13" t="s">
        <v>773</v>
      </c>
      <c r="E199" s="14" t="s">
        <v>225</v>
      </c>
      <c r="F199" s="24">
        <v>0</v>
      </c>
      <c r="G199" s="24">
        <v>8543000</v>
      </c>
    </row>
    <row r="200" ht="89.25" spans="1:7">
      <c r="A200" s="13" t="s">
        <v>774</v>
      </c>
      <c r="B200" s="13"/>
      <c r="C200" s="13" t="s">
        <v>775</v>
      </c>
      <c r="D200" s="13" t="s">
        <v>776</v>
      </c>
      <c r="E200" s="14" t="s">
        <v>225</v>
      </c>
      <c r="F200" s="24">
        <v>0</v>
      </c>
      <c r="G200" s="24">
        <v>7150000</v>
      </c>
    </row>
    <row r="201" ht="51" spans="1:7">
      <c r="A201" s="13" t="s">
        <v>777</v>
      </c>
      <c r="B201" s="13"/>
      <c r="C201" s="13" t="s">
        <v>778</v>
      </c>
      <c r="D201" s="13" t="s">
        <v>779</v>
      </c>
      <c r="E201" s="14" t="s">
        <v>225</v>
      </c>
      <c r="F201" s="24">
        <v>0</v>
      </c>
      <c r="G201" s="24">
        <v>252200</v>
      </c>
    </row>
    <row r="202" ht="51" spans="1:7">
      <c r="A202" s="13" t="s">
        <v>780</v>
      </c>
      <c r="B202" s="13"/>
      <c r="C202" s="13" t="s">
        <v>781</v>
      </c>
      <c r="D202" s="13" t="s">
        <v>782</v>
      </c>
      <c r="E202" s="14" t="s">
        <v>225</v>
      </c>
      <c r="F202" s="24">
        <v>0</v>
      </c>
      <c r="G202" s="24">
        <v>252200</v>
      </c>
    </row>
    <row r="203" ht="51" spans="1:7">
      <c r="A203" s="13" t="s">
        <v>783</v>
      </c>
      <c r="B203" s="13"/>
      <c r="C203" s="13" t="s">
        <v>784</v>
      </c>
      <c r="D203" s="13" t="s">
        <v>785</v>
      </c>
      <c r="E203" s="14" t="s">
        <v>225</v>
      </c>
      <c r="F203" s="24">
        <v>0</v>
      </c>
      <c r="G203" s="24">
        <v>252200</v>
      </c>
    </row>
    <row r="204" ht="51" spans="1:7">
      <c r="A204" s="13" t="s">
        <v>786</v>
      </c>
      <c r="B204" s="13"/>
      <c r="C204" s="13" t="s">
        <v>787</v>
      </c>
      <c r="D204" s="13" t="s">
        <v>788</v>
      </c>
      <c r="E204" s="14" t="s">
        <v>225</v>
      </c>
      <c r="F204" s="24">
        <v>0</v>
      </c>
      <c r="G204" s="24">
        <v>252200</v>
      </c>
    </row>
    <row r="205" ht="51" spans="1:7">
      <c r="A205" s="13" t="s">
        <v>789</v>
      </c>
      <c r="B205" s="13"/>
      <c r="C205" s="13" t="s">
        <v>790</v>
      </c>
      <c r="D205" s="13" t="s">
        <v>791</v>
      </c>
      <c r="E205" s="14" t="s">
        <v>225</v>
      </c>
      <c r="F205" s="24">
        <v>0</v>
      </c>
      <c r="G205" s="24">
        <v>252200</v>
      </c>
    </row>
    <row r="206" ht="51" spans="1:7">
      <c r="A206" s="13" t="s">
        <v>792</v>
      </c>
      <c r="B206" s="13"/>
      <c r="C206" s="13" t="s">
        <v>793</v>
      </c>
      <c r="D206" s="13" t="s">
        <v>794</v>
      </c>
      <c r="E206" s="14" t="s">
        <v>225</v>
      </c>
      <c r="F206" s="24">
        <v>0</v>
      </c>
      <c r="G206" s="24">
        <v>252200</v>
      </c>
    </row>
    <row r="207" ht="76.5" spans="1:7">
      <c r="A207" s="13" t="s">
        <v>795</v>
      </c>
      <c r="B207" s="13"/>
      <c r="C207" s="13" t="s">
        <v>796</v>
      </c>
      <c r="D207" s="13" t="s">
        <v>797</v>
      </c>
      <c r="E207" s="14" t="s">
        <v>225</v>
      </c>
      <c r="F207" s="24">
        <v>0</v>
      </c>
      <c r="G207" s="24">
        <v>252200</v>
      </c>
    </row>
    <row r="208" ht="76.5" spans="1:7">
      <c r="A208" s="13" t="s">
        <v>798</v>
      </c>
      <c r="B208" s="13"/>
      <c r="C208" s="13" t="s">
        <v>799</v>
      </c>
      <c r="D208" s="13" t="s">
        <v>800</v>
      </c>
      <c r="E208" s="14" t="s">
        <v>225</v>
      </c>
      <c r="F208" s="24">
        <v>0</v>
      </c>
      <c r="G208" s="24">
        <v>252200</v>
      </c>
    </row>
    <row r="209" ht="38.25" spans="1:7">
      <c r="A209" s="13" t="s">
        <v>801</v>
      </c>
      <c r="B209" s="13"/>
      <c r="C209" s="13" t="s">
        <v>802</v>
      </c>
      <c r="D209" s="13" t="s">
        <v>803</v>
      </c>
      <c r="E209" s="14" t="s">
        <v>225</v>
      </c>
      <c r="F209" s="24">
        <v>0</v>
      </c>
      <c r="G209" s="24">
        <v>252200</v>
      </c>
    </row>
    <row r="210" ht="38.25" spans="1:7">
      <c r="A210" s="13" t="s">
        <v>804</v>
      </c>
      <c r="B210" s="13"/>
      <c r="C210" s="13" t="s">
        <v>805</v>
      </c>
      <c r="D210" s="13" t="s">
        <v>806</v>
      </c>
      <c r="E210" s="14" t="s">
        <v>225</v>
      </c>
      <c r="F210" s="24">
        <v>0</v>
      </c>
      <c r="G210" s="24">
        <v>252200</v>
      </c>
    </row>
    <row r="211" ht="51" spans="1:7">
      <c r="A211" s="13" t="s">
        <v>807</v>
      </c>
      <c r="B211" s="13" t="s">
        <v>808</v>
      </c>
      <c r="C211" s="13" t="s">
        <v>809</v>
      </c>
      <c r="D211" s="13" t="s">
        <v>810</v>
      </c>
      <c r="E211" s="14" t="s">
        <v>126</v>
      </c>
      <c r="F211" s="24">
        <v>192700</v>
      </c>
      <c r="G211" s="24">
        <v>151700</v>
      </c>
    </row>
    <row r="212" ht="51" spans="1:7">
      <c r="A212" s="13" t="s">
        <v>811</v>
      </c>
      <c r="B212" s="13" t="s">
        <v>812</v>
      </c>
      <c r="C212" s="13" t="s">
        <v>813</v>
      </c>
      <c r="D212" s="13" t="s">
        <v>814</v>
      </c>
      <c r="E212" s="14" t="s">
        <v>126</v>
      </c>
      <c r="F212" s="24">
        <v>637300</v>
      </c>
      <c r="G212" s="24">
        <v>376500</v>
      </c>
    </row>
    <row r="213" ht="38.25" spans="1:7">
      <c r="A213" s="13" t="s">
        <v>815</v>
      </c>
      <c r="B213" s="13" t="s">
        <v>816</v>
      </c>
      <c r="C213" s="13" t="s">
        <v>817</v>
      </c>
      <c r="D213" s="13" t="s">
        <v>818</v>
      </c>
      <c r="E213" s="14" t="s">
        <v>126</v>
      </c>
      <c r="F213" s="24">
        <v>1920000</v>
      </c>
      <c r="G213" s="24">
        <v>436500</v>
      </c>
    </row>
    <row r="214" ht="25.5" spans="1:7">
      <c r="A214" s="13" t="s">
        <v>819</v>
      </c>
      <c r="B214" s="13" t="s">
        <v>820</v>
      </c>
      <c r="C214" s="13" t="s">
        <v>821</v>
      </c>
      <c r="D214" s="13" t="s">
        <v>822</v>
      </c>
      <c r="E214" s="14" t="s">
        <v>25</v>
      </c>
      <c r="F214" s="24">
        <v>20000</v>
      </c>
      <c r="G214" s="24">
        <v>1920</v>
      </c>
    </row>
    <row r="215" ht="25.5" spans="1:7">
      <c r="A215" s="13" t="s">
        <v>823</v>
      </c>
      <c r="B215" s="13" t="s">
        <v>824</v>
      </c>
      <c r="C215" s="13" t="s">
        <v>825</v>
      </c>
      <c r="D215" s="13" t="s">
        <v>826</v>
      </c>
      <c r="E215" s="14" t="s">
        <v>215</v>
      </c>
      <c r="F215" s="24">
        <v>1417000</v>
      </c>
      <c r="G215" s="24">
        <v>402500</v>
      </c>
    </row>
    <row r="216" ht="25.5" spans="1:7">
      <c r="A216" s="13" t="s">
        <v>827</v>
      </c>
      <c r="B216" s="13" t="s">
        <v>828</v>
      </c>
      <c r="C216" s="13" t="s">
        <v>829</v>
      </c>
      <c r="D216" s="13" t="s">
        <v>830</v>
      </c>
      <c r="E216" s="14" t="s">
        <v>215</v>
      </c>
      <c r="F216" s="24">
        <v>2217000</v>
      </c>
      <c r="G216" s="24">
        <v>402500</v>
      </c>
    </row>
    <row r="217" ht="25.5" spans="1:7">
      <c r="A217" s="13" t="s">
        <v>831</v>
      </c>
      <c r="B217" s="13" t="s">
        <v>832</v>
      </c>
      <c r="C217" s="13" t="s">
        <v>833</v>
      </c>
      <c r="D217" s="13" t="s">
        <v>834</v>
      </c>
      <c r="E217" s="14" t="s">
        <v>126</v>
      </c>
      <c r="F217" s="24">
        <v>217000</v>
      </c>
      <c r="G217" s="24">
        <v>56010</v>
      </c>
    </row>
    <row r="218" ht="25.5" spans="1:7">
      <c r="A218" s="13" t="s">
        <v>835</v>
      </c>
      <c r="B218" s="13" t="s">
        <v>836</v>
      </c>
      <c r="C218" s="13" t="s">
        <v>837</v>
      </c>
      <c r="D218" s="13" t="s">
        <v>838</v>
      </c>
      <c r="E218" s="14" t="s">
        <v>225</v>
      </c>
      <c r="F218" s="24">
        <v>4940</v>
      </c>
      <c r="G218" s="24">
        <v>11640</v>
      </c>
    </row>
    <row r="219" ht="51" spans="1:7">
      <c r="A219" s="13" t="s">
        <v>839</v>
      </c>
      <c r="B219" s="13" t="s">
        <v>840</v>
      </c>
      <c r="C219" s="13" t="s">
        <v>841</v>
      </c>
      <c r="D219" s="13" t="s">
        <v>842</v>
      </c>
      <c r="E219" s="14" t="s">
        <v>151</v>
      </c>
      <c r="F219" s="24">
        <v>364800</v>
      </c>
      <c r="G219" s="24">
        <v>42790</v>
      </c>
    </row>
    <row r="220" ht="51" spans="1:7">
      <c r="A220" s="13" t="s">
        <v>843</v>
      </c>
      <c r="B220" s="13" t="s">
        <v>844</v>
      </c>
      <c r="C220" s="13" t="s">
        <v>845</v>
      </c>
      <c r="D220" s="13" t="s">
        <v>846</v>
      </c>
      <c r="E220" s="14" t="s">
        <v>25</v>
      </c>
      <c r="F220" s="24">
        <v>107600</v>
      </c>
      <c r="G220" s="24">
        <v>35660</v>
      </c>
    </row>
    <row r="221" ht="51" spans="1:7">
      <c r="A221" s="13" t="s">
        <v>847</v>
      </c>
      <c r="B221" s="13" t="s">
        <v>848</v>
      </c>
      <c r="C221" s="13" t="s">
        <v>849</v>
      </c>
      <c r="D221" s="13" t="s">
        <v>850</v>
      </c>
      <c r="E221" s="14" t="s">
        <v>25</v>
      </c>
      <c r="F221" s="24">
        <v>221700</v>
      </c>
      <c r="G221" s="24">
        <v>42790</v>
      </c>
    </row>
    <row r="222" ht="51" spans="1:7">
      <c r="A222" s="13" t="s">
        <v>851</v>
      </c>
      <c r="B222" s="13" t="s">
        <v>852</v>
      </c>
      <c r="C222" s="13" t="s">
        <v>853</v>
      </c>
      <c r="D222" s="13" t="s">
        <v>854</v>
      </c>
      <c r="E222" s="14" t="s">
        <v>25</v>
      </c>
      <c r="F222" s="24">
        <v>429200</v>
      </c>
      <c r="G222" s="24">
        <v>49930</v>
      </c>
    </row>
    <row r="223" ht="51" spans="1:7">
      <c r="A223" s="13" t="s">
        <v>855</v>
      </c>
      <c r="B223" s="13" t="s">
        <v>856</v>
      </c>
      <c r="C223" s="13" t="s">
        <v>857</v>
      </c>
      <c r="D223" s="13" t="s">
        <v>858</v>
      </c>
      <c r="E223" s="14" t="s">
        <v>126</v>
      </c>
      <c r="F223" s="24">
        <v>1096000</v>
      </c>
      <c r="G223" s="24">
        <v>610700</v>
      </c>
    </row>
    <row r="224" ht="76.5" spans="1:7">
      <c r="A224" s="13" t="s">
        <v>859</v>
      </c>
      <c r="B224" s="13" t="s">
        <v>860</v>
      </c>
      <c r="C224" s="13" t="s">
        <v>861</v>
      </c>
      <c r="D224" s="13" t="s">
        <v>862</v>
      </c>
      <c r="E224" s="14" t="s">
        <v>215</v>
      </c>
      <c r="F224" s="24">
        <v>1635000</v>
      </c>
      <c r="G224" s="24">
        <v>339500</v>
      </c>
    </row>
    <row r="225" ht="76.5" spans="1:7">
      <c r="A225" s="13" t="s">
        <v>863</v>
      </c>
      <c r="B225" s="13" t="s">
        <v>864</v>
      </c>
      <c r="C225" s="13" t="s">
        <v>865</v>
      </c>
      <c r="D225" s="13" t="s">
        <v>866</v>
      </c>
      <c r="E225" s="14" t="s">
        <v>215</v>
      </c>
      <c r="F225" s="24">
        <v>1122000</v>
      </c>
      <c r="G225" s="24">
        <v>300700</v>
      </c>
    </row>
    <row r="226" ht="38.25" spans="1:7">
      <c r="A226" s="13" t="s">
        <v>867</v>
      </c>
      <c r="B226" s="13" t="s">
        <v>868</v>
      </c>
      <c r="C226" s="13" t="s">
        <v>869</v>
      </c>
      <c r="D226" s="13" t="s">
        <v>870</v>
      </c>
      <c r="E226" s="14" t="s">
        <v>126</v>
      </c>
      <c r="F226" s="24">
        <v>582300</v>
      </c>
      <c r="G226" s="24">
        <v>169100</v>
      </c>
    </row>
    <row r="227" ht="38.25" spans="1:7">
      <c r="A227" s="13" t="s">
        <v>871</v>
      </c>
      <c r="B227" s="13" t="s">
        <v>872</v>
      </c>
      <c r="C227" s="13" t="s">
        <v>873</v>
      </c>
      <c r="D227" s="13" t="s">
        <v>874</v>
      </c>
      <c r="E227" s="14" t="s">
        <v>126</v>
      </c>
      <c r="F227" s="24">
        <v>6729000</v>
      </c>
      <c r="G227" s="24">
        <v>475900</v>
      </c>
    </row>
    <row r="228" ht="38.25" spans="1:7">
      <c r="A228" s="13" t="s">
        <v>875</v>
      </c>
      <c r="B228" s="13" t="s">
        <v>876</v>
      </c>
      <c r="C228" s="13" t="s">
        <v>877</v>
      </c>
      <c r="D228" s="13" t="s">
        <v>878</v>
      </c>
      <c r="E228" s="14" t="s">
        <v>126</v>
      </c>
      <c r="F228" s="24">
        <v>1421000</v>
      </c>
      <c r="G228" s="24">
        <v>252200</v>
      </c>
    </row>
    <row r="229" ht="51" spans="1:7">
      <c r="A229" s="13" t="s">
        <v>879</v>
      </c>
      <c r="B229" s="13" t="s">
        <v>880</v>
      </c>
      <c r="C229" s="13" t="s">
        <v>881</v>
      </c>
      <c r="D229" s="13" t="s">
        <v>882</v>
      </c>
      <c r="E229" s="14" t="s">
        <v>25</v>
      </c>
      <c r="F229" s="24">
        <v>21880</v>
      </c>
      <c r="G229" s="24">
        <v>9700</v>
      </c>
    </row>
    <row r="230" ht="51" spans="1:7">
      <c r="A230" s="13" t="s">
        <v>883</v>
      </c>
      <c r="B230" s="13"/>
      <c r="C230" s="13" t="s">
        <v>883</v>
      </c>
      <c r="D230" s="13" t="s">
        <v>884</v>
      </c>
      <c r="E230" s="14" t="s">
        <v>885</v>
      </c>
      <c r="F230" s="24">
        <v>0</v>
      </c>
      <c r="G230" s="24">
        <v>380</v>
      </c>
    </row>
    <row r="231" ht="76.5" spans="1:7">
      <c r="A231" s="13" t="s">
        <v>886</v>
      </c>
      <c r="B231" s="13" t="s">
        <v>887</v>
      </c>
      <c r="C231" s="13" t="s">
        <v>888</v>
      </c>
      <c r="D231" s="13" t="s">
        <v>889</v>
      </c>
      <c r="E231" s="14" t="s">
        <v>126</v>
      </c>
      <c r="F231" s="24">
        <v>9780</v>
      </c>
      <c r="G231" s="24">
        <v>1940</v>
      </c>
    </row>
    <row r="232" ht="63.75" spans="1:7">
      <c r="A232" s="13" t="s">
        <v>890</v>
      </c>
      <c r="B232" s="13" t="s">
        <v>891</v>
      </c>
      <c r="C232" s="13" t="s">
        <v>892</v>
      </c>
      <c r="D232" s="13" t="s">
        <v>893</v>
      </c>
      <c r="E232" s="14" t="s">
        <v>126</v>
      </c>
      <c r="F232" s="24">
        <v>9190</v>
      </c>
      <c r="G232" s="24">
        <v>2230</v>
      </c>
    </row>
    <row r="233" spans="1:7">
      <c r="A233" s="13" t="s">
        <v>894</v>
      </c>
      <c r="B233" s="13" t="s">
        <v>895</v>
      </c>
      <c r="C233" s="13" t="s">
        <v>896</v>
      </c>
      <c r="D233" s="13" t="s">
        <v>897</v>
      </c>
      <c r="E233" s="14" t="s">
        <v>126</v>
      </c>
      <c r="F233" s="24">
        <v>306000</v>
      </c>
      <c r="G233" s="24">
        <v>100000</v>
      </c>
    </row>
    <row r="234" ht="51" spans="1:7">
      <c r="A234" s="13" t="s">
        <v>898</v>
      </c>
      <c r="B234" s="13" t="s">
        <v>899</v>
      </c>
      <c r="C234" s="13" t="s">
        <v>900</v>
      </c>
      <c r="D234" s="13" t="s">
        <v>901</v>
      </c>
      <c r="E234" s="14" t="s">
        <v>126</v>
      </c>
      <c r="F234" s="24">
        <v>13760</v>
      </c>
      <c r="G234" s="24">
        <v>4860</v>
      </c>
    </row>
    <row r="235" spans="1:7">
      <c r="A235" s="13" t="s">
        <v>902</v>
      </c>
      <c r="B235" s="13" t="s">
        <v>903</v>
      </c>
      <c r="C235" s="13" t="s">
        <v>904</v>
      </c>
      <c r="D235" s="13" t="s">
        <v>905</v>
      </c>
      <c r="E235" s="14" t="s">
        <v>215</v>
      </c>
      <c r="F235" s="24">
        <v>649800</v>
      </c>
      <c r="G235" s="24">
        <v>659600</v>
      </c>
    </row>
    <row r="236" ht="25.5" spans="1:7">
      <c r="A236" s="13" t="s">
        <v>906</v>
      </c>
      <c r="B236" s="13" t="s">
        <v>907</v>
      </c>
      <c r="C236" s="13" t="s">
        <v>908</v>
      </c>
      <c r="D236" s="13" t="s">
        <v>909</v>
      </c>
      <c r="E236" s="14" t="s">
        <v>126</v>
      </c>
      <c r="F236" s="24">
        <v>649300</v>
      </c>
      <c r="G236" s="24">
        <v>659600</v>
      </c>
    </row>
    <row r="237" ht="51" spans="1:7">
      <c r="A237" s="13" t="s">
        <v>910</v>
      </c>
      <c r="B237" s="13" t="s">
        <v>911</v>
      </c>
      <c r="C237" s="13" t="s">
        <v>912</v>
      </c>
      <c r="D237" s="13" t="s">
        <v>913</v>
      </c>
      <c r="E237" s="14" t="s">
        <v>126</v>
      </c>
      <c r="F237" s="24">
        <v>4643000</v>
      </c>
      <c r="G237" s="24">
        <v>2504000</v>
      </c>
    </row>
    <row r="238" ht="51" spans="1:7">
      <c r="A238" s="13" t="s">
        <v>914</v>
      </c>
      <c r="B238" s="13" t="s">
        <v>915</v>
      </c>
      <c r="C238" s="13" t="s">
        <v>916</v>
      </c>
      <c r="D238" s="13" t="s">
        <v>917</v>
      </c>
      <c r="E238" s="14" t="s">
        <v>126</v>
      </c>
      <c r="F238" s="24">
        <v>3248000</v>
      </c>
      <c r="G238" s="24">
        <v>1906000</v>
      </c>
    </row>
    <row r="239" ht="25.5" spans="1:7">
      <c r="A239" s="13" t="s">
        <v>918</v>
      </c>
      <c r="B239" s="13"/>
      <c r="C239" s="13" t="s">
        <v>919</v>
      </c>
      <c r="D239" s="13" t="s">
        <v>920</v>
      </c>
      <c r="E239" s="14" t="s">
        <v>664</v>
      </c>
      <c r="F239" s="24">
        <v>0</v>
      </c>
      <c r="G239" s="24">
        <v>20200</v>
      </c>
    </row>
    <row r="240" ht="25.5" spans="1:7">
      <c r="A240" s="13" t="s">
        <v>921</v>
      </c>
      <c r="B240" s="13"/>
      <c r="C240" s="13" t="s">
        <v>922</v>
      </c>
      <c r="D240" s="13" t="s">
        <v>923</v>
      </c>
      <c r="E240" s="14" t="s">
        <v>664</v>
      </c>
      <c r="F240" s="24">
        <v>0</v>
      </c>
      <c r="G240" s="24">
        <v>25290</v>
      </c>
    </row>
    <row r="241" ht="25.5" spans="1:7">
      <c r="A241" s="13" t="s">
        <v>924</v>
      </c>
      <c r="B241" s="13" t="s">
        <v>925</v>
      </c>
      <c r="C241" s="13" t="s">
        <v>926</v>
      </c>
      <c r="D241" s="13" t="s">
        <v>927</v>
      </c>
      <c r="E241" s="14" t="s">
        <v>928</v>
      </c>
      <c r="F241" s="24">
        <v>284900</v>
      </c>
      <c r="G241" s="24">
        <v>20890</v>
      </c>
    </row>
    <row r="242" ht="38.25" spans="1:7">
      <c r="A242" s="13" t="s">
        <v>929</v>
      </c>
      <c r="B242" s="13"/>
      <c r="C242" s="13" t="s">
        <v>930</v>
      </c>
      <c r="D242" s="13" t="s">
        <v>931</v>
      </c>
      <c r="E242" s="14" t="s">
        <v>135</v>
      </c>
      <c r="F242" s="24">
        <v>0</v>
      </c>
      <c r="G242" s="24">
        <v>10760</v>
      </c>
    </row>
    <row r="243" ht="25.5" spans="1:7">
      <c r="A243" s="13" t="s">
        <v>932</v>
      </c>
      <c r="B243" s="13"/>
      <c r="C243" s="13" t="s">
        <v>933</v>
      </c>
      <c r="D243" s="13" t="s">
        <v>934</v>
      </c>
      <c r="E243" s="14" t="s">
        <v>928</v>
      </c>
      <c r="F243" s="24">
        <v>0</v>
      </c>
      <c r="G243" s="24">
        <v>9650</v>
      </c>
    </row>
    <row r="244" ht="25.5" spans="1:7">
      <c r="A244" s="13" t="s">
        <v>935</v>
      </c>
      <c r="B244" s="13"/>
      <c r="C244" s="13" t="s">
        <v>936</v>
      </c>
      <c r="D244" s="13" t="s">
        <v>937</v>
      </c>
      <c r="E244" s="14" t="s">
        <v>648</v>
      </c>
      <c r="F244" s="24">
        <v>0</v>
      </c>
      <c r="G244" s="24">
        <v>9650</v>
      </c>
    </row>
    <row r="245" ht="25.5" spans="1:7">
      <c r="A245" s="13" t="s">
        <v>938</v>
      </c>
      <c r="B245" s="13"/>
      <c r="C245" s="13" t="s">
        <v>939</v>
      </c>
      <c r="D245" s="13" t="s">
        <v>940</v>
      </c>
      <c r="E245" s="14" t="s">
        <v>941</v>
      </c>
      <c r="F245" s="24">
        <v>0</v>
      </c>
      <c r="G245" s="24">
        <v>37610</v>
      </c>
    </row>
    <row r="246" ht="76.5" spans="1:7">
      <c r="A246" s="13" t="s">
        <v>942</v>
      </c>
      <c r="B246" s="13"/>
      <c r="C246" s="13" t="s">
        <v>943</v>
      </c>
      <c r="D246" s="13" t="s">
        <v>944</v>
      </c>
      <c r="E246" s="14" t="s">
        <v>215</v>
      </c>
      <c r="F246" s="24">
        <v>0</v>
      </c>
      <c r="G246" s="24">
        <v>3298000</v>
      </c>
    </row>
    <row r="247" ht="38.25" spans="1:7">
      <c r="A247" s="13" t="s">
        <v>945</v>
      </c>
      <c r="B247" s="13"/>
      <c r="C247" s="13" t="s">
        <v>946</v>
      </c>
      <c r="D247" s="13" t="s">
        <v>947</v>
      </c>
      <c r="E247" s="14" t="s">
        <v>928</v>
      </c>
      <c r="F247" s="24">
        <v>0</v>
      </c>
      <c r="G247" s="24">
        <v>29250</v>
      </c>
    </row>
    <row r="248" ht="25.5" spans="1:7">
      <c r="A248" s="13" t="s">
        <v>948</v>
      </c>
      <c r="B248" s="13" t="s">
        <v>949</v>
      </c>
      <c r="C248" s="13" t="s">
        <v>950</v>
      </c>
      <c r="D248" s="13" t="s">
        <v>951</v>
      </c>
      <c r="E248" s="14" t="s">
        <v>215</v>
      </c>
      <c r="F248" s="24">
        <v>160</v>
      </c>
      <c r="G248" s="24">
        <v>30</v>
      </c>
    </row>
    <row r="249" ht="25.5" spans="1:7">
      <c r="A249" s="13" t="s">
        <v>952</v>
      </c>
      <c r="B249" s="13"/>
      <c r="C249" s="13" t="s">
        <v>953</v>
      </c>
      <c r="D249" s="13" t="s">
        <v>954</v>
      </c>
      <c r="E249" s="14" t="s">
        <v>215</v>
      </c>
      <c r="F249" s="24">
        <v>0</v>
      </c>
      <c r="G249" s="24">
        <v>10240</v>
      </c>
    </row>
    <row r="250" ht="89.25" spans="1:7">
      <c r="A250" s="13" t="s">
        <v>955</v>
      </c>
      <c r="B250" s="13"/>
      <c r="C250" s="13" t="s">
        <v>956</v>
      </c>
      <c r="D250" s="13" t="s">
        <v>957</v>
      </c>
      <c r="E250" s="14" t="s">
        <v>215</v>
      </c>
      <c r="F250" s="24">
        <v>0</v>
      </c>
      <c r="G250" s="24">
        <v>125300</v>
      </c>
    </row>
    <row r="251" ht="25.5" spans="1:7">
      <c r="A251" s="13" t="s">
        <v>958</v>
      </c>
      <c r="B251" s="13"/>
      <c r="C251" s="13" t="s">
        <v>959</v>
      </c>
      <c r="D251" s="13" t="s">
        <v>727</v>
      </c>
      <c r="E251" s="14" t="s">
        <v>202</v>
      </c>
      <c r="F251" s="24">
        <v>0</v>
      </c>
      <c r="G251" s="24">
        <v>35370</v>
      </c>
    </row>
    <row r="252" ht="25.5" spans="1:7">
      <c r="A252" s="13" t="s">
        <v>960</v>
      </c>
      <c r="B252" s="13"/>
      <c r="C252" s="13" t="s">
        <v>961</v>
      </c>
      <c r="D252" s="13" t="s">
        <v>962</v>
      </c>
      <c r="E252" s="14" t="s">
        <v>215</v>
      </c>
      <c r="F252" s="24">
        <v>0</v>
      </c>
      <c r="G252" s="24">
        <v>10250</v>
      </c>
    </row>
    <row r="253" spans="1:7">
      <c r="A253" s="13" t="s">
        <v>963</v>
      </c>
      <c r="B253" s="13"/>
      <c r="C253" s="13" t="s">
        <v>964</v>
      </c>
      <c r="D253" s="13" t="s">
        <v>730</v>
      </c>
      <c r="E253" s="14" t="s">
        <v>314</v>
      </c>
      <c r="F253" s="24">
        <v>0</v>
      </c>
      <c r="G253" s="24">
        <v>2200</v>
      </c>
    </row>
    <row r="254" ht="89.25" spans="1:7">
      <c r="A254" s="13" t="s">
        <v>965</v>
      </c>
      <c r="B254" s="13"/>
      <c r="C254" s="13" t="s">
        <v>966</v>
      </c>
      <c r="D254" s="13" t="s">
        <v>967</v>
      </c>
      <c r="E254" s="14" t="s">
        <v>215</v>
      </c>
      <c r="F254" s="24">
        <v>0</v>
      </c>
      <c r="G254" s="24">
        <v>79410</v>
      </c>
    </row>
    <row r="255" spans="1:7">
      <c r="A255" s="13" t="s">
        <v>968</v>
      </c>
      <c r="B255" s="13"/>
      <c r="C255" s="13" t="s">
        <v>969</v>
      </c>
      <c r="D255" s="13" t="s">
        <v>747</v>
      </c>
      <c r="E255" s="14" t="s">
        <v>151</v>
      </c>
      <c r="F255" s="24">
        <v>0</v>
      </c>
      <c r="G255" s="24">
        <v>2410</v>
      </c>
    </row>
    <row r="256" ht="25.5" spans="1:7">
      <c r="A256" s="13" t="s">
        <v>970</v>
      </c>
      <c r="B256" s="13"/>
      <c r="C256" s="13" t="s">
        <v>971</v>
      </c>
      <c r="D256" s="13" t="s">
        <v>972</v>
      </c>
      <c r="E256" s="14" t="s">
        <v>648</v>
      </c>
      <c r="F256" s="24">
        <v>0</v>
      </c>
      <c r="G256" s="24">
        <v>29250</v>
      </c>
    </row>
    <row r="257" ht="25.5" spans="1:7">
      <c r="A257" s="13" t="s">
        <v>973</v>
      </c>
      <c r="B257" s="13"/>
      <c r="C257" s="13" t="s">
        <v>974</v>
      </c>
      <c r="D257" s="13" t="s">
        <v>975</v>
      </c>
      <c r="E257" s="14" t="s">
        <v>215</v>
      </c>
      <c r="F257" s="24">
        <v>0</v>
      </c>
      <c r="G257" s="24">
        <v>210900</v>
      </c>
    </row>
    <row r="258" ht="38.25" spans="1:7">
      <c r="A258" s="13" t="s">
        <v>976</v>
      </c>
      <c r="B258" s="13" t="s">
        <v>977</v>
      </c>
      <c r="C258" s="13" t="s">
        <v>978</v>
      </c>
      <c r="D258" s="13" t="s">
        <v>979</v>
      </c>
      <c r="E258" s="14" t="s">
        <v>215</v>
      </c>
      <c r="F258" s="24">
        <v>880600</v>
      </c>
      <c r="G258" s="24">
        <v>91950</v>
      </c>
    </row>
    <row r="259" ht="38.25" spans="1:7">
      <c r="A259" s="13" t="s">
        <v>980</v>
      </c>
      <c r="B259" s="13" t="s">
        <v>981</v>
      </c>
      <c r="C259" s="13" t="s">
        <v>982</v>
      </c>
      <c r="D259" s="13" t="s">
        <v>983</v>
      </c>
      <c r="E259" s="14" t="s">
        <v>215</v>
      </c>
      <c r="F259" s="24">
        <v>1681000</v>
      </c>
      <c r="G259" s="24">
        <v>107900</v>
      </c>
    </row>
    <row r="260" ht="38.25" spans="1:7">
      <c r="A260" s="13" t="s">
        <v>984</v>
      </c>
      <c r="B260" s="13" t="s">
        <v>985</v>
      </c>
      <c r="C260" s="13" t="s">
        <v>986</v>
      </c>
      <c r="D260" s="13" t="s">
        <v>987</v>
      </c>
      <c r="E260" s="14" t="s">
        <v>215</v>
      </c>
      <c r="F260" s="24">
        <v>1074000</v>
      </c>
      <c r="G260" s="24">
        <v>91950</v>
      </c>
    </row>
    <row r="261" ht="25.5" spans="1:7">
      <c r="A261" s="13" t="s">
        <v>988</v>
      </c>
      <c r="B261" s="13"/>
      <c r="C261" s="13" t="s">
        <v>989</v>
      </c>
      <c r="D261" s="13" t="s">
        <v>990</v>
      </c>
      <c r="E261" s="14" t="s">
        <v>928</v>
      </c>
      <c r="F261" s="24">
        <v>0</v>
      </c>
      <c r="G261" s="24">
        <v>9650</v>
      </c>
    </row>
    <row r="262" ht="114.75" spans="1:7">
      <c r="A262" s="13" t="s">
        <v>991</v>
      </c>
      <c r="B262" s="13" t="s">
        <v>992</v>
      </c>
      <c r="C262" s="13" t="s">
        <v>993</v>
      </c>
      <c r="D262" s="13" t="s">
        <v>994</v>
      </c>
      <c r="E262" s="14" t="s">
        <v>151</v>
      </c>
      <c r="F262" s="24">
        <v>16270</v>
      </c>
      <c r="G262" s="24">
        <v>3490</v>
      </c>
    </row>
    <row r="263" ht="25.5" spans="1:7">
      <c r="A263" s="13" t="s">
        <v>995</v>
      </c>
      <c r="B263" s="13" t="s">
        <v>996</v>
      </c>
      <c r="C263" s="13" t="s">
        <v>997</v>
      </c>
      <c r="D263" s="13" t="s">
        <v>998</v>
      </c>
      <c r="E263" s="14" t="s">
        <v>928</v>
      </c>
      <c r="F263" s="24">
        <v>203500</v>
      </c>
      <c r="G263" s="24">
        <v>20890</v>
      </c>
    </row>
    <row r="264" ht="102" spans="1:7">
      <c r="A264" s="13" t="s">
        <v>999</v>
      </c>
      <c r="B264" s="13" t="s">
        <v>1000</v>
      </c>
      <c r="C264" s="13" t="s">
        <v>1001</v>
      </c>
      <c r="D264" s="13" t="s">
        <v>1002</v>
      </c>
      <c r="E264" s="14" t="s">
        <v>126</v>
      </c>
      <c r="F264" s="24">
        <v>8853000</v>
      </c>
      <c r="G264" s="24">
        <v>5205000</v>
      </c>
    </row>
    <row r="265" ht="204" spans="1:7">
      <c r="A265" s="13" t="s">
        <v>1003</v>
      </c>
      <c r="B265" s="13" t="s">
        <v>1004</v>
      </c>
      <c r="C265" s="13" t="s">
        <v>1005</v>
      </c>
      <c r="D265" s="13" t="s">
        <v>1006</v>
      </c>
      <c r="E265" s="14" t="s">
        <v>220</v>
      </c>
      <c r="F265" s="24">
        <v>23570000</v>
      </c>
      <c r="G265" s="24">
        <v>8452000</v>
      </c>
    </row>
    <row r="266" ht="191.25" spans="1:7">
      <c r="A266" s="13" t="s">
        <v>1007</v>
      </c>
      <c r="B266" s="13" t="s">
        <v>1008</v>
      </c>
      <c r="C266" s="13" t="s">
        <v>1009</v>
      </c>
      <c r="D266" s="13" t="s">
        <v>1010</v>
      </c>
      <c r="E266" s="14" t="s">
        <v>220</v>
      </c>
      <c r="F266" s="24">
        <v>15980000</v>
      </c>
      <c r="G266" s="24">
        <v>7964000</v>
      </c>
    </row>
    <row r="267" ht="102" spans="1:7">
      <c r="A267" s="13" t="s">
        <v>1011</v>
      </c>
      <c r="B267" s="13" t="s">
        <v>1012</v>
      </c>
      <c r="C267" s="13" t="s">
        <v>1013</v>
      </c>
      <c r="D267" s="13" t="s">
        <v>1014</v>
      </c>
      <c r="E267" s="14" t="s">
        <v>126</v>
      </c>
      <c r="F267" s="24">
        <v>16820000</v>
      </c>
      <c r="G267" s="24">
        <v>5245000</v>
      </c>
    </row>
    <row r="268" ht="204" spans="1:7">
      <c r="A268" s="13" t="s">
        <v>1015</v>
      </c>
      <c r="B268" s="13" t="s">
        <v>1016</v>
      </c>
      <c r="C268" s="13" t="s">
        <v>1017</v>
      </c>
      <c r="D268" s="13" t="s">
        <v>1018</v>
      </c>
      <c r="E268" s="14" t="s">
        <v>220</v>
      </c>
      <c r="F268" s="24">
        <v>31940000</v>
      </c>
      <c r="G268" s="24">
        <v>8492000</v>
      </c>
    </row>
    <row r="269" ht="191.25" spans="1:7">
      <c r="A269" s="13" t="s">
        <v>1019</v>
      </c>
      <c r="B269" s="13" t="s">
        <v>1020</v>
      </c>
      <c r="C269" s="13" t="s">
        <v>1021</v>
      </c>
      <c r="D269" s="13" t="s">
        <v>1022</v>
      </c>
      <c r="E269" s="14" t="s">
        <v>220</v>
      </c>
      <c r="F269" s="24">
        <v>24350000</v>
      </c>
      <c r="G269" s="24">
        <v>8003000</v>
      </c>
    </row>
    <row r="270" ht="63.75" spans="1:7">
      <c r="A270" s="13" t="s">
        <v>1023</v>
      </c>
      <c r="B270" s="13" t="s">
        <v>1024</v>
      </c>
      <c r="C270" s="13" t="s">
        <v>1025</v>
      </c>
      <c r="D270" s="13" t="s">
        <v>1026</v>
      </c>
      <c r="E270" s="14" t="s">
        <v>126</v>
      </c>
      <c r="F270" s="24">
        <v>2984000</v>
      </c>
      <c r="G270" s="24">
        <v>3852000</v>
      </c>
    </row>
    <row r="271" ht="102" spans="1:7">
      <c r="A271" s="13" t="s">
        <v>1027</v>
      </c>
      <c r="B271" s="13" t="s">
        <v>1028</v>
      </c>
      <c r="C271" s="13" t="s">
        <v>1029</v>
      </c>
      <c r="D271" s="13" t="s">
        <v>1030</v>
      </c>
      <c r="E271" s="14" t="s">
        <v>126</v>
      </c>
      <c r="F271" s="24">
        <v>39380000</v>
      </c>
      <c r="G271" s="24">
        <v>5204000</v>
      </c>
    </row>
    <row r="272" ht="102" spans="1:7">
      <c r="A272" s="13" t="s">
        <v>1031</v>
      </c>
      <c r="B272" s="13" t="s">
        <v>1032</v>
      </c>
      <c r="C272" s="13" t="s">
        <v>1033</v>
      </c>
      <c r="D272" s="13" t="s">
        <v>1034</v>
      </c>
      <c r="E272" s="14" t="s">
        <v>126</v>
      </c>
      <c r="F272" s="24">
        <v>7071000</v>
      </c>
      <c r="G272" s="24">
        <v>4558000</v>
      </c>
    </row>
    <row r="273" ht="25.5" spans="1:7">
      <c r="A273" s="13" t="s">
        <v>1035</v>
      </c>
      <c r="B273" s="13" t="s">
        <v>1036</v>
      </c>
      <c r="C273" s="13" t="s">
        <v>1037</v>
      </c>
      <c r="D273" s="13" t="s">
        <v>1038</v>
      </c>
      <c r="E273" s="14" t="s">
        <v>720</v>
      </c>
      <c r="F273" s="24">
        <v>61640</v>
      </c>
      <c r="G273" s="24">
        <v>26670</v>
      </c>
    </row>
    <row r="274" ht="38.25" spans="1:7">
      <c r="A274" s="13" t="s">
        <v>1039</v>
      </c>
      <c r="B274" s="13" t="s">
        <v>1040</v>
      </c>
      <c r="C274" s="13" t="s">
        <v>1041</v>
      </c>
      <c r="D274" s="13" t="s">
        <v>1042</v>
      </c>
      <c r="E274" s="14" t="s">
        <v>720</v>
      </c>
      <c r="F274" s="24">
        <v>240100</v>
      </c>
      <c r="G274" s="24">
        <v>26670</v>
      </c>
    </row>
    <row r="275" ht="25.5" spans="1:7">
      <c r="A275" s="13" t="s">
        <v>1043</v>
      </c>
      <c r="B275" s="13"/>
      <c r="C275" s="13" t="s">
        <v>1044</v>
      </c>
      <c r="D275" s="13" t="s">
        <v>727</v>
      </c>
      <c r="E275" s="14" t="s">
        <v>202</v>
      </c>
      <c r="F275" s="24">
        <v>0</v>
      </c>
      <c r="G275" s="24">
        <v>35370</v>
      </c>
    </row>
    <row r="276" spans="1:7">
      <c r="A276" s="13" t="s">
        <v>1045</v>
      </c>
      <c r="B276" s="13"/>
      <c r="C276" s="13" t="s">
        <v>1046</v>
      </c>
      <c r="D276" s="13" t="s">
        <v>730</v>
      </c>
      <c r="E276" s="14" t="s">
        <v>314</v>
      </c>
      <c r="F276" s="24">
        <v>0</v>
      </c>
      <c r="G276" s="24">
        <v>2200</v>
      </c>
    </row>
    <row r="277" ht="25.5" spans="1:7">
      <c r="A277" s="13" t="s">
        <v>1047</v>
      </c>
      <c r="B277" s="13"/>
      <c r="C277" s="13" t="s">
        <v>1048</v>
      </c>
      <c r="D277" s="13" t="s">
        <v>741</v>
      </c>
      <c r="E277" s="14" t="s">
        <v>928</v>
      </c>
      <c r="F277" s="24">
        <v>0</v>
      </c>
      <c r="G277" s="24">
        <v>9650</v>
      </c>
    </row>
    <row r="278" ht="25.5" spans="1:7">
      <c r="A278" s="13" t="s">
        <v>1049</v>
      </c>
      <c r="B278" s="13"/>
      <c r="C278" s="13" t="s">
        <v>1050</v>
      </c>
      <c r="D278" s="13" t="s">
        <v>744</v>
      </c>
      <c r="E278" s="14" t="s">
        <v>314</v>
      </c>
      <c r="F278" s="24">
        <v>0</v>
      </c>
      <c r="G278" s="24">
        <v>14160</v>
      </c>
    </row>
    <row r="279" ht="38.25" spans="1:7">
      <c r="A279" s="13" t="s">
        <v>1051</v>
      </c>
      <c r="B279" s="13" t="s">
        <v>1052</v>
      </c>
      <c r="C279" s="13" t="s">
        <v>1053</v>
      </c>
      <c r="D279" s="13" t="s">
        <v>1054</v>
      </c>
      <c r="E279" s="14" t="s">
        <v>126</v>
      </c>
      <c r="F279" s="24">
        <v>4390</v>
      </c>
      <c r="G279" s="24">
        <v>1200</v>
      </c>
    </row>
    <row r="280" ht="63.75" spans="1:7">
      <c r="A280" s="13" t="s">
        <v>1055</v>
      </c>
      <c r="B280" s="13" t="s">
        <v>1056</v>
      </c>
      <c r="C280" s="13" t="s">
        <v>1057</v>
      </c>
      <c r="D280" s="13" t="s">
        <v>1058</v>
      </c>
      <c r="E280" s="14" t="s">
        <v>215</v>
      </c>
      <c r="F280" s="24">
        <v>104000</v>
      </c>
      <c r="G280" s="24">
        <v>56260</v>
      </c>
    </row>
    <row r="281" ht="63.75" spans="1:7">
      <c r="A281" s="13" t="s">
        <v>1059</v>
      </c>
      <c r="B281" s="13" t="s">
        <v>1060</v>
      </c>
      <c r="C281" s="13" t="s">
        <v>1061</v>
      </c>
      <c r="D281" s="13" t="s">
        <v>1062</v>
      </c>
      <c r="E281" s="14" t="s">
        <v>215</v>
      </c>
      <c r="F281" s="24">
        <v>160100</v>
      </c>
      <c r="G281" s="24">
        <v>56260</v>
      </c>
    </row>
    <row r="282" spans="1:7">
      <c r="A282" s="13" t="s">
        <v>1063</v>
      </c>
      <c r="B282" s="13"/>
      <c r="C282" s="13" t="s">
        <v>1064</v>
      </c>
      <c r="D282" s="13" t="s">
        <v>747</v>
      </c>
      <c r="E282" s="14" t="s">
        <v>126</v>
      </c>
      <c r="F282" s="24">
        <v>0</v>
      </c>
      <c r="G282" s="24">
        <v>2410</v>
      </c>
    </row>
    <row r="283" ht="25.5" spans="1:7">
      <c r="A283" s="13" t="s">
        <v>1065</v>
      </c>
      <c r="B283" s="13"/>
      <c r="C283" s="13" t="s">
        <v>1066</v>
      </c>
      <c r="D283" s="13" t="s">
        <v>1067</v>
      </c>
      <c r="E283" s="14" t="s">
        <v>648</v>
      </c>
      <c r="F283" s="24">
        <v>0</v>
      </c>
      <c r="G283" s="24">
        <v>3298000</v>
      </c>
    </row>
    <row r="284" ht="76.5" spans="1:7">
      <c r="A284" s="13" t="s">
        <v>1068</v>
      </c>
      <c r="B284" s="13" t="s">
        <v>1069</v>
      </c>
      <c r="C284" s="13" t="s">
        <v>1070</v>
      </c>
      <c r="D284" s="13" t="s">
        <v>1071</v>
      </c>
      <c r="E284" s="14" t="s">
        <v>706</v>
      </c>
      <c r="F284" s="24">
        <v>1482000</v>
      </c>
      <c r="G284" s="24">
        <v>679000</v>
      </c>
    </row>
    <row r="285" ht="76.5" spans="1:7">
      <c r="A285" s="13" t="s">
        <v>1072</v>
      </c>
      <c r="B285" s="13" t="s">
        <v>1073</v>
      </c>
      <c r="C285" s="13" t="s">
        <v>1074</v>
      </c>
      <c r="D285" s="13" t="s">
        <v>1075</v>
      </c>
      <c r="E285" s="14" t="s">
        <v>706</v>
      </c>
      <c r="F285" s="24">
        <v>1609000</v>
      </c>
      <c r="G285" s="24">
        <v>727500</v>
      </c>
    </row>
    <row r="286" ht="38.25" spans="1:7">
      <c r="A286" s="13" t="s">
        <v>1076</v>
      </c>
      <c r="B286" s="13"/>
      <c r="C286" s="13" t="s">
        <v>1077</v>
      </c>
      <c r="D286" s="13" t="s">
        <v>1078</v>
      </c>
      <c r="E286" s="14" t="s">
        <v>215</v>
      </c>
      <c r="F286" s="24">
        <v>0</v>
      </c>
      <c r="G286" s="24">
        <v>2425000</v>
      </c>
    </row>
    <row r="287" ht="25.5" spans="1:7">
      <c r="A287" s="13" t="s">
        <v>1079</v>
      </c>
      <c r="B287" s="13"/>
      <c r="C287" s="13" t="s">
        <v>1080</v>
      </c>
      <c r="D287" s="13" t="s">
        <v>1081</v>
      </c>
      <c r="E287" s="14" t="s">
        <v>215</v>
      </c>
      <c r="F287" s="24">
        <v>0</v>
      </c>
      <c r="G287" s="24">
        <v>10240</v>
      </c>
    </row>
    <row r="288" ht="25.5" spans="1:7">
      <c r="A288" s="13" t="s">
        <v>1082</v>
      </c>
      <c r="B288" s="13"/>
      <c r="C288" s="13" t="s">
        <v>1083</v>
      </c>
      <c r="D288" s="13" t="s">
        <v>1084</v>
      </c>
      <c r="E288" s="14" t="s">
        <v>763</v>
      </c>
      <c r="F288" s="24">
        <v>0</v>
      </c>
      <c r="G288" s="24">
        <v>8970</v>
      </c>
    </row>
    <row r="289" ht="191.25" spans="1:7">
      <c r="A289" s="13" t="s">
        <v>1085</v>
      </c>
      <c r="B289" s="13" t="s">
        <v>1086</v>
      </c>
      <c r="C289" s="13" t="s">
        <v>1087</v>
      </c>
      <c r="D289" s="13" t="s">
        <v>1088</v>
      </c>
      <c r="E289" s="14" t="s">
        <v>135</v>
      </c>
      <c r="F289" s="24">
        <v>745300</v>
      </c>
      <c r="G289" s="24">
        <v>145500</v>
      </c>
    </row>
    <row r="290" ht="191.25" spans="1:7">
      <c r="A290" s="13" t="s">
        <v>1089</v>
      </c>
      <c r="B290" s="13" t="s">
        <v>1090</v>
      </c>
      <c r="C290" s="13" t="s">
        <v>1091</v>
      </c>
      <c r="D290" s="13" t="s">
        <v>1092</v>
      </c>
      <c r="E290" s="14" t="s">
        <v>135</v>
      </c>
      <c r="F290" s="24">
        <v>575100</v>
      </c>
      <c r="G290" s="24">
        <v>140600</v>
      </c>
    </row>
    <row r="291" ht="38.25" spans="1:7">
      <c r="A291" s="13" t="s">
        <v>1093</v>
      </c>
      <c r="B291" s="13"/>
      <c r="C291" s="13" t="s">
        <v>1094</v>
      </c>
      <c r="D291" s="13" t="s">
        <v>1095</v>
      </c>
      <c r="E291" s="14" t="s">
        <v>215</v>
      </c>
      <c r="F291" s="24">
        <v>0</v>
      </c>
      <c r="G291" s="24">
        <v>10240</v>
      </c>
    </row>
    <row r="292" ht="25.5" spans="1:7">
      <c r="A292" s="13" t="s">
        <v>1096</v>
      </c>
      <c r="B292" s="13"/>
      <c r="C292" s="13" t="s">
        <v>1097</v>
      </c>
      <c r="D292" s="13" t="s">
        <v>651</v>
      </c>
      <c r="E292" s="14" t="s">
        <v>215</v>
      </c>
      <c r="F292" s="24">
        <v>0</v>
      </c>
      <c r="G292" s="24">
        <v>35370</v>
      </c>
    </row>
    <row r="293" spans="1:7">
      <c r="A293" s="13" t="s">
        <v>1098</v>
      </c>
      <c r="B293" s="13" t="s">
        <v>1099</v>
      </c>
      <c r="C293" s="13" t="s">
        <v>1100</v>
      </c>
      <c r="D293" s="13" t="s">
        <v>1101</v>
      </c>
      <c r="E293" s="14" t="s">
        <v>135</v>
      </c>
      <c r="F293" s="24">
        <v>20340</v>
      </c>
      <c r="G293" s="24">
        <v>10030</v>
      </c>
    </row>
    <row r="294" ht="38.25" spans="1:7">
      <c r="A294" s="13" t="s">
        <v>1102</v>
      </c>
      <c r="B294" s="13" t="s">
        <v>1103</v>
      </c>
      <c r="C294" s="13" t="s">
        <v>1104</v>
      </c>
      <c r="D294" s="13" t="s">
        <v>1105</v>
      </c>
      <c r="E294" s="14" t="s">
        <v>126</v>
      </c>
      <c r="F294" s="24">
        <v>17990</v>
      </c>
      <c r="G294" s="24">
        <v>23280</v>
      </c>
    </row>
    <row r="295" ht="25.5" spans="1:7">
      <c r="A295" s="13" t="s">
        <v>1106</v>
      </c>
      <c r="B295" s="13" t="s">
        <v>1107</v>
      </c>
      <c r="C295" s="13" t="s">
        <v>1108</v>
      </c>
      <c r="D295" s="13" t="s">
        <v>1109</v>
      </c>
      <c r="E295" s="14" t="s">
        <v>126</v>
      </c>
      <c r="F295" s="24">
        <v>18400</v>
      </c>
      <c r="G295" s="24">
        <v>23280</v>
      </c>
    </row>
    <row r="296" spans="1:7">
      <c r="A296" s="13" t="s">
        <v>1110</v>
      </c>
      <c r="B296" s="13"/>
      <c r="C296" s="13" t="s">
        <v>1111</v>
      </c>
      <c r="D296" s="13" t="s">
        <v>1112</v>
      </c>
      <c r="E296" s="14" t="s">
        <v>215</v>
      </c>
      <c r="F296" s="24">
        <v>0</v>
      </c>
      <c r="G296" s="24">
        <v>4860</v>
      </c>
    </row>
    <row r="297" spans="1:7">
      <c r="A297" s="13" t="s">
        <v>1113</v>
      </c>
      <c r="B297" s="13"/>
      <c r="C297" s="13" t="s">
        <v>1114</v>
      </c>
      <c r="D297" s="13" t="s">
        <v>1115</v>
      </c>
      <c r="E297" s="14" t="s">
        <v>928</v>
      </c>
      <c r="F297" s="24">
        <v>0</v>
      </c>
      <c r="G297" s="24">
        <v>4860</v>
      </c>
    </row>
    <row r="298" ht="25.5" spans="1:7">
      <c r="A298" s="13" t="s">
        <v>1116</v>
      </c>
      <c r="B298" s="13"/>
      <c r="C298" s="13" t="s">
        <v>1117</v>
      </c>
      <c r="D298" s="13" t="s">
        <v>1118</v>
      </c>
      <c r="E298" s="14" t="s">
        <v>314</v>
      </c>
      <c r="F298" s="24">
        <v>0</v>
      </c>
      <c r="G298" s="24">
        <v>4860</v>
      </c>
    </row>
    <row r="299" spans="1:7">
      <c r="A299" s="13" t="s">
        <v>1119</v>
      </c>
      <c r="B299" s="13" t="s">
        <v>1120</v>
      </c>
      <c r="C299" s="13" t="s">
        <v>1121</v>
      </c>
      <c r="D299" s="13" t="s">
        <v>1122</v>
      </c>
      <c r="E299" s="14" t="s">
        <v>151</v>
      </c>
      <c r="F299" s="24">
        <v>10120</v>
      </c>
      <c r="G299" s="24">
        <v>1490</v>
      </c>
    </row>
    <row r="300" ht="25.5" spans="1:7">
      <c r="A300" s="13" t="s">
        <v>1123</v>
      </c>
      <c r="B300" s="13" t="s">
        <v>1124</v>
      </c>
      <c r="C300" s="13" t="s">
        <v>1125</v>
      </c>
      <c r="D300" s="13" t="s">
        <v>1126</v>
      </c>
      <c r="E300" s="14" t="s">
        <v>135</v>
      </c>
      <c r="F300" s="24">
        <v>14400</v>
      </c>
      <c r="G300" s="24">
        <v>11640</v>
      </c>
    </row>
    <row r="301" ht="114.75" spans="1:7">
      <c r="A301" s="13" t="s">
        <v>1127</v>
      </c>
      <c r="B301" s="13" t="s">
        <v>1128</v>
      </c>
      <c r="C301" s="13" t="s">
        <v>1129</v>
      </c>
      <c r="D301" s="13" t="s">
        <v>1130</v>
      </c>
      <c r="E301" s="14" t="s">
        <v>135</v>
      </c>
      <c r="F301" s="24">
        <v>712500</v>
      </c>
      <c r="G301" s="24">
        <v>143300</v>
      </c>
    </row>
    <row r="302" ht="114.75" spans="1:7">
      <c r="A302" s="13" t="s">
        <v>1131</v>
      </c>
      <c r="B302" s="13" t="s">
        <v>1132</v>
      </c>
      <c r="C302" s="13" t="s">
        <v>1133</v>
      </c>
      <c r="D302" s="13" t="s">
        <v>1134</v>
      </c>
      <c r="E302" s="14" t="s">
        <v>135</v>
      </c>
      <c r="F302" s="24">
        <v>544100</v>
      </c>
      <c r="G302" s="24">
        <v>138000</v>
      </c>
    </row>
    <row r="303" ht="89.25" spans="1:7">
      <c r="A303" s="13" t="s">
        <v>1135</v>
      </c>
      <c r="B303" s="13" t="s">
        <v>1136</v>
      </c>
      <c r="C303" s="13" t="s">
        <v>1137</v>
      </c>
      <c r="D303" s="13" t="s">
        <v>1138</v>
      </c>
      <c r="E303" s="14" t="s">
        <v>126</v>
      </c>
      <c r="F303" s="24">
        <v>1364000</v>
      </c>
      <c r="G303" s="24">
        <v>126100</v>
      </c>
    </row>
    <row r="304" ht="89.25" spans="1:7">
      <c r="A304" s="13" t="s">
        <v>1139</v>
      </c>
      <c r="B304" s="13" t="s">
        <v>1140</v>
      </c>
      <c r="C304" s="13" t="s">
        <v>1141</v>
      </c>
      <c r="D304" s="13" t="s">
        <v>1142</v>
      </c>
      <c r="E304" s="14" t="s">
        <v>126</v>
      </c>
      <c r="F304" s="24">
        <v>1193000</v>
      </c>
      <c r="G304" s="24">
        <v>126100</v>
      </c>
    </row>
    <row r="305" ht="25.5" spans="1:7">
      <c r="A305" s="13" t="s">
        <v>1143</v>
      </c>
      <c r="B305" s="13"/>
      <c r="C305" s="13" t="s">
        <v>1144</v>
      </c>
      <c r="D305" s="13" t="s">
        <v>1081</v>
      </c>
      <c r="E305" s="14" t="s">
        <v>215</v>
      </c>
      <c r="F305" s="24">
        <v>0</v>
      </c>
      <c r="G305" s="24">
        <v>10240</v>
      </c>
    </row>
    <row r="306" spans="1:7">
      <c r="A306" s="13" t="s">
        <v>1145</v>
      </c>
      <c r="B306" s="13"/>
      <c r="C306" s="13" t="s">
        <v>1146</v>
      </c>
      <c r="D306" s="13" t="s">
        <v>1147</v>
      </c>
      <c r="E306" s="14" t="s">
        <v>215</v>
      </c>
      <c r="F306" s="24">
        <v>0</v>
      </c>
      <c r="G306" s="24">
        <v>2410</v>
      </c>
    </row>
    <row r="307" ht="25.5" spans="1:7">
      <c r="A307" s="13" t="s">
        <v>1148</v>
      </c>
      <c r="B307" s="13"/>
      <c r="C307" s="13" t="s">
        <v>1149</v>
      </c>
      <c r="D307" s="13" t="s">
        <v>663</v>
      </c>
      <c r="E307" s="14" t="s">
        <v>664</v>
      </c>
      <c r="F307" s="24">
        <v>0</v>
      </c>
      <c r="G307" s="24">
        <v>16720</v>
      </c>
    </row>
    <row r="308" ht="25.5" spans="1:7">
      <c r="A308" s="13" t="s">
        <v>1150</v>
      </c>
      <c r="B308" s="13"/>
      <c r="C308" s="13" t="s">
        <v>1151</v>
      </c>
      <c r="D308" s="13" t="s">
        <v>1152</v>
      </c>
      <c r="E308" s="14" t="s">
        <v>763</v>
      </c>
      <c r="F308" s="24">
        <v>0</v>
      </c>
      <c r="G308" s="24">
        <v>8970</v>
      </c>
    </row>
    <row r="309" ht="38.25" spans="1:7">
      <c r="A309" s="13" t="s">
        <v>1153</v>
      </c>
      <c r="B309" s="13"/>
      <c r="C309" s="13" t="s">
        <v>1154</v>
      </c>
      <c r="D309" s="13" t="s">
        <v>1155</v>
      </c>
      <c r="E309" s="14" t="s">
        <v>245</v>
      </c>
      <c r="F309" s="24">
        <v>0</v>
      </c>
      <c r="G309" s="24">
        <v>33250</v>
      </c>
    </row>
    <row r="310" ht="38.25" spans="1:7">
      <c r="A310" s="13" t="s">
        <v>1156</v>
      </c>
      <c r="B310" s="13" t="s">
        <v>1157</v>
      </c>
      <c r="C310" s="13" t="s">
        <v>1158</v>
      </c>
      <c r="D310" s="13" t="s">
        <v>1159</v>
      </c>
      <c r="E310" s="14" t="s">
        <v>225</v>
      </c>
      <c r="F310" s="24">
        <v>12440</v>
      </c>
      <c r="G310" s="24">
        <v>7540</v>
      </c>
    </row>
    <row r="311" ht="25.5" spans="1:7">
      <c r="A311" s="13" t="s">
        <v>1160</v>
      </c>
      <c r="B311" s="13"/>
      <c r="C311" s="13" t="s">
        <v>1161</v>
      </c>
      <c r="D311" s="13" t="s">
        <v>1162</v>
      </c>
      <c r="E311" s="14" t="s">
        <v>135</v>
      </c>
      <c r="F311" s="24">
        <v>0</v>
      </c>
      <c r="G311" s="24">
        <v>43620</v>
      </c>
    </row>
    <row r="312" ht="25.5" spans="1:7">
      <c r="A312" s="13" t="s">
        <v>1163</v>
      </c>
      <c r="B312" s="13"/>
      <c r="C312" s="13" t="s">
        <v>1164</v>
      </c>
      <c r="D312" s="13" t="s">
        <v>1165</v>
      </c>
      <c r="E312" s="14" t="s">
        <v>135</v>
      </c>
      <c r="F312" s="24">
        <v>0</v>
      </c>
      <c r="G312" s="24">
        <v>54530</v>
      </c>
    </row>
    <row r="313" spans="1:7">
      <c r="A313" s="13" t="s">
        <v>1166</v>
      </c>
      <c r="B313" s="13"/>
      <c r="C313" s="13" t="s">
        <v>1167</v>
      </c>
      <c r="D313" s="13" t="s">
        <v>1168</v>
      </c>
      <c r="E313" s="14" t="s">
        <v>135</v>
      </c>
      <c r="F313" s="24">
        <v>0</v>
      </c>
      <c r="G313" s="24">
        <v>245200</v>
      </c>
    </row>
    <row r="314" spans="1:7">
      <c r="A314" s="13" t="s">
        <v>1169</v>
      </c>
      <c r="B314" s="13"/>
      <c r="C314" s="13" t="s">
        <v>1170</v>
      </c>
      <c r="D314" s="13" t="s">
        <v>1171</v>
      </c>
      <c r="E314" s="14" t="s">
        <v>135</v>
      </c>
      <c r="F314" s="24">
        <v>0</v>
      </c>
      <c r="G314" s="24">
        <v>337800</v>
      </c>
    </row>
    <row r="315" ht="38.25" spans="1:7">
      <c r="A315" s="13" t="s">
        <v>1172</v>
      </c>
      <c r="B315" s="13"/>
      <c r="C315" s="13" t="s">
        <v>1173</v>
      </c>
      <c r="D315" s="13" t="s">
        <v>1174</v>
      </c>
      <c r="E315" s="14" t="s">
        <v>135</v>
      </c>
      <c r="F315" s="24">
        <v>0</v>
      </c>
      <c r="G315" s="24">
        <v>100900</v>
      </c>
    </row>
    <row r="316" ht="25.5" spans="1:7">
      <c r="A316" s="13" t="s">
        <v>1175</v>
      </c>
      <c r="B316" s="13"/>
      <c r="C316" s="13" t="s">
        <v>1176</v>
      </c>
      <c r="D316" s="13" t="s">
        <v>1177</v>
      </c>
      <c r="E316" s="14" t="s">
        <v>135</v>
      </c>
      <c r="F316" s="24">
        <v>0</v>
      </c>
      <c r="G316" s="24">
        <v>504400</v>
      </c>
    </row>
    <row r="317" ht="38.25" spans="1:7">
      <c r="A317" s="13" t="s">
        <v>1178</v>
      </c>
      <c r="B317" s="13"/>
      <c r="C317" s="13" t="s">
        <v>1179</v>
      </c>
      <c r="D317" s="13" t="s">
        <v>1180</v>
      </c>
      <c r="E317" s="14" t="s">
        <v>664</v>
      </c>
      <c r="F317" s="24">
        <v>0</v>
      </c>
      <c r="G317" s="24">
        <v>92600</v>
      </c>
    </row>
    <row r="318" ht="38.25" spans="1:7">
      <c r="A318" s="13" t="s">
        <v>1181</v>
      </c>
      <c r="B318" s="13" t="s">
        <v>1182</v>
      </c>
      <c r="C318" s="13" t="s">
        <v>1183</v>
      </c>
      <c r="D318" s="13" t="s">
        <v>1184</v>
      </c>
      <c r="E318" s="14" t="s">
        <v>126</v>
      </c>
      <c r="F318" s="24">
        <v>24600</v>
      </c>
      <c r="G318" s="24">
        <v>2800</v>
      </c>
    </row>
    <row r="319" ht="38.25" spans="1:7">
      <c r="A319" s="13" t="s">
        <v>1185</v>
      </c>
      <c r="B319" s="13" t="s">
        <v>1186</v>
      </c>
      <c r="C319" s="13" t="s">
        <v>1187</v>
      </c>
      <c r="D319" s="13" t="s">
        <v>1188</v>
      </c>
      <c r="E319" s="14" t="s">
        <v>126</v>
      </c>
      <c r="F319" s="24">
        <v>22860</v>
      </c>
      <c r="G319" s="24">
        <v>2800</v>
      </c>
    </row>
    <row r="320" ht="38.25" spans="1:7">
      <c r="A320" s="13" t="s">
        <v>1189</v>
      </c>
      <c r="B320" s="13" t="s">
        <v>1190</v>
      </c>
      <c r="C320" s="13" t="s">
        <v>1191</v>
      </c>
      <c r="D320" s="13" t="s">
        <v>1192</v>
      </c>
      <c r="E320" s="14" t="s">
        <v>126</v>
      </c>
      <c r="F320" s="24">
        <v>25390</v>
      </c>
      <c r="G320" s="24">
        <v>2560</v>
      </c>
    </row>
    <row r="321" ht="38.25" spans="1:7">
      <c r="A321" s="13" t="s">
        <v>1193</v>
      </c>
      <c r="B321" s="13" t="s">
        <v>1194</v>
      </c>
      <c r="C321" s="13" t="s">
        <v>1195</v>
      </c>
      <c r="D321" s="13" t="s">
        <v>1196</v>
      </c>
      <c r="E321" s="14" t="s">
        <v>25</v>
      </c>
      <c r="F321" s="24">
        <v>1670</v>
      </c>
      <c r="G321" s="24">
        <v>1380</v>
      </c>
    </row>
    <row r="322" ht="38.25" spans="1:7">
      <c r="A322" s="13" t="s">
        <v>1197</v>
      </c>
      <c r="B322" s="13" t="s">
        <v>1198</v>
      </c>
      <c r="C322" s="13" t="s">
        <v>1199</v>
      </c>
      <c r="D322" s="13" t="s">
        <v>1200</v>
      </c>
      <c r="E322" s="14" t="s">
        <v>25</v>
      </c>
      <c r="F322" s="24">
        <v>1850</v>
      </c>
      <c r="G322" s="24">
        <v>1380</v>
      </c>
    </row>
    <row r="323" ht="38.25" spans="1:7">
      <c r="A323" s="13" t="s">
        <v>1201</v>
      </c>
      <c r="B323" s="13" t="s">
        <v>1202</v>
      </c>
      <c r="C323" s="13" t="s">
        <v>1203</v>
      </c>
      <c r="D323" s="13" t="s">
        <v>1204</v>
      </c>
      <c r="E323" s="14" t="s">
        <v>25</v>
      </c>
      <c r="F323" s="24">
        <v>2130</v>
      </c>
      <c r="G323" s="24">
        <v>1280</v>
      </c>
    </row>
    <row r="324" ht="25.5" spans="1:7">
      <c r="A324" s="13" t="s">
        <v>1205</v>
      </c>
      <c r="B324" s="13" t="s">
        <v>1206</v>
      </c>
      <c r="C324" s="13" t="s">
        <v>1207</v>
      </c>
      <c r="D324" s="13" t="s">
        <v>1208</v>
      </c>
      <c r="E324" s="14" t="s">
        <v>664</v>
      </c>
      <c r="F324" s="24">
        <v>104300</v>
      </c>
      <c r="G324" s="24">
        <v>50500</v>
      </c>
    </row>
    <row r="325" ht="38.25" spans="1:7">
      <c r="A325" s="13" t="s">
        <v>1209</v>
      </c>
      <c r="B325" s="13" t="s">
        <v>1210</v>
      </c>
      <c r="C325" s="13" t="s">
        <v>1211</v>
      </c>
      <c r="D325" s="13" t="s">
        <v>1212</v>
      </c>
      <c r="E325" s="14" t="s">
        <v>126</v>
      </c>
      <c r="F325" s="24">
        <v>22300</v>
      </c>
      <c r="G325" s="24">
        <v>2800</v>
      </c>
    </row>
    <row r="326" ht="38.25" spans="1:7">
      <c r="A326" s="13" t="s">
        <v>1213</v>
      </c>
      <c r="B326" s="13" t="s">
        <v>1214</v>
      </c>
      <c r="C326" s="13" t="s">
        <v>1215</v>
      </c>
      <c r="D326" s="13" t="s">
        <v>1216</v>
      </c>
      <c r="E326" s="14" t="s">
        <v>126</v>
      </c>
      <c r="F326" s="24">
        <v>22860</v>
      </c>
      <c r="G326" s="24">
        <v>2800</v>
      </c>
    </row>
    <row r="327" ht="38.25" spans="1:7">
      <c r="A327" s="13" t="s">
        <v>1217</v>
      </c>
      <c r="B327" s="13" t="s">
        <v>1218</v>
      </c>
      <c r="C327" s="13" t="s">
        <v>1219</v>
      </c>
      <c r="D327" s="13" t="s">
        <v>1220</v>
      </c>
      <c r="E327" s="14" t="s">
        <v>126</v>
      </c>
      <c r="F327" s="24">
        <v>23300</v>
      </c>
      <c r="G327" s="24">
        <v>2800</v>
      </c>
    </row>
    <row r="328" ht="51" spans="1:7">
      <c r="A328" s="16" t="s">
        <v>1221</v>
      </c>
      <c r="B328" s="13" t="s">
        <v>1222</v>
      </c>
      <c r="C328" s="13" t="s">
        <v>1223</v>
      </c>
      <c r="D328" s="16" t="s">
        <v>1224</v>
      </c>
      <c r="E328" s="17" t="s">
        <v>225</v>
      </c>
      <c r="F328" s="24">
        <v>9700</v>
      </c>
      <c r="G328" s="24">
        <v>54200</v>
      </c>
    </row>
    <row r="329" ht="25.5" spans="1:7">
      <c r="A329" s="13" t="s">
        <v>1225</v>
      </c>
      <c r="B329" s="13" t="s">
        <v>1226</v>
      </c>
      <c r="C329" s="13" t="s">
        <v>1227</v>
      </c>
      <c r="D329" s="13" t="s">
        <v>1228</v>
      </c>
      <c r="E329" s="14" t="s">
        <v>135</v>
      </c>
      <c r="F329" s="24">
        <v>18560</v>
      </c>
      <c r="G329" s="24">
        <v>11640</v>
      </c>
    </row>
    <row r="330" ht="25.5" spans="1:7">
      <c r="A330" s="13" t="s">
        <v>1229</v>
      </c>
      <c r="B330" s="13" t="s">
        <v>1230</v>
      </c>
      <c r="C330" s="13" t="s">
        <v>1231</v>
      </c>
      <c r="D330" s="13" t="s">
        <v>1232</v>
      </c>
      <c r="E330" s="14" t="s">
        <v>135</v>
      </c>
      <c r="F330" s="24">
        <v>24960</v>
      </c>
      <c r="G330" s="24">
        <v>11640</v>
      </c>
    </row>
    <row r="331" ht="38.25" spans="1:7">
      <c r="A331" s="13" t="s">
        <v>1233</v>
      </c>
      <c r="B331" s="13" t="s">
        <v>1234</v>
      </c>
      <c r="C331" s="13" t="s">
        <v>1235</v>
      </c>
      <c r="D331" s="13" t="s">
        <v>1236</v>
      </c>
      <c r="E331" s="14" t="s">
        <v>126</v>
      </c>
      <c r="F331" s="24">
        <v>15520</v>
      </c>
      <c r="G331" s="24">
        <v>10540</v>
      </c>
    </row>
    <row r="332" ht="102" spans="1:7">
      <c r="A332" s="13" t="s">
        <v>1237</v>
      </c>
      <c r="B332" s="13" t="s">
        <v>1238</v>
      </c>
      <c r="C332" s="13" t="s">
        <v>1239</v>
      </c>
      <c r="D332" s="13" t="s">
        <v>1240</v>
      </c>
      <c r="E332" s="14" t="s">
        <v>225</v>
      </c>
      <c r="F332" s="24">
        <v>4930000</v>
      </c>
      <c r="G332" s="24">
        <v>1503000</v>
      </c>
    </row>
    <row r="333" ht="51" spans="1:7">
      <c r="A333" s="13" t="s">
        <v>1241</v>
      </c>
      <c r="B333" s="13" t="s">
        <v>1242</v>
      </c>
      <c r="C333" s="13" t="s">
        <v>1243</v>
      </c>
      <c r="D333" s="13" t="s">
        <v>1244</v>
      </c>
      <c r="E333" s="14" t="s">
        <v>25</v>
      </c>
      <c r="F333" s="24">
        <v>19040</v>
      </c>
      <c r="G333" s="24">
        <v>3720</v>
      </c>
    </row>
    <row r="334" ht="51" spans="1:7">
      <c r="A334" s="13" t="s">
        <v>1245</v>
      </c>
      <c r="B334" s="13" t="s">
        <v>1246</v>
      </c>
      <c r="C334" s="13" t="s">
        <v>1247</v>
      </c>
      <c r="D334" s="13" t="s">
        <v>1248</v>
      </c>
      <c r="E334" s="14" t="s">
        <v>151</v>
      </c>
      <c r="F334" s="24">
        <v>18800</v>
      </c>
      <c r="G334" s="24">
        <v>3720</v>
      </c>
    </row>
    <row r="335" ht="38.25" spans="1:7">
      <c r="A335" s="13" t="s">
        <v>1249</v>
      </c>
      <c r="B335" s="13" t="s">
        <v>1250</v>
      </c>
      <c r="C335" s="13" t="s">
        <v>1251</v>
      </c>
      <c r="D335" s="13" t="s">
        <v>1252</v>
      </c>
      <c r="E335" s="14" t="s">
        <v>220</v>
      </c>
      <c r="F335" s="24">
        <v>65000</v>
      </c>
      <c r="G335" s="24">
        <v>28900</v>
      </c>
    </row>
    <row r="336" ht="38.25" spans="1:7">
      <c r="A336" s="13" t="s">
        <v>1253</v>
      </c>
      <c r="B336" s="13"/>
      <c r="C336" s="13" t="s">
        <v>1254</v>
      </c>
      <c r="D336" s="13" t="s">
        <v>1255</v>
      </c>
      <c r="E336" s="14" t="s">
        <v>1256</v>
      </c>
      <c r="F336" s="26">
        <f>0</f>
        <v>0</v>
      </c>
      <c r="G336" s="26">
        <v>15000000</v>
      </c>
    </row>
    <row r="337" ht="38.25" spans="1:7">
      <c r="A337" s="16" t="s">
        <v>1257</v>
      </c>
      <c r="B337" s="13" t="s">
        <v>1258</v>
      </c>
      <c r="C337" s="13" t="s">
        <v>1259</v>
      </c>
      <c r="D337" s="16" t="s">
        <v>1260</v>
      </c>
      <c r="E337" s="17" t="s">
        <v>225</v>
      </c>
      <c r="F337" s="24">
        <v>320</v>
      </c>
      <c r="G337" s="24">
        <v>480</v>
      </c>
    </row>
    <row r="338" ht="51" spans="1:7">
      <c r="A338" s="13" t="s">
        <v>1261</v>
      </c>
      <c r="B338" s="13" t="s">
        <v>1262</v>
      </c>
      <c r="C338" s="13" t="s">
        <v>1263</v>
      </c>
      <c r="D338" s="13" t="s">
        <v>1264</v>
      </c>
      <c r="E338" s="14" t="s">
        <v>126</v>
      </c>
      <c r="F338" s="24">
        <v>332200</v>
      </c>
      <c r="G338" s="24">
        <v>31370</v>
      </c>
    </row>
    <row r="339" ht="51" spans="1:7">
      <c r="A339" s="13" t="s">
        <v>1265</v>
      </c>
      <c r="B339" s="13" t="s">
        <v>1266</v>
      </c>
      <c r="C339" s="13" t="s">
        <v>1267</v>
      </c>
      <c r="D339" s="13" t="s">
        <v>1268</v>
      </c>
      <c r="E339" s="14" t="s">
        <v>126</v>
      </c>
      <c r="F339" s="24">
        <v>299500</v>
      </c>
      <c r="G339" s="24">
        <v>31370</v>
      </c>
    </row>
    <row r="340" ht="51" spans="1:7">
      <c r="A340" s="13" t="s">
        <v>1269</v>
      </c>
      <c r="B340" s="13" t="s">
        <v>1270</v>
      </c>
      <c r="C340" s="13" t="s">
        <v>1271</v>
      </c>
      <c r="D340" s="13" t="s">
        <v>1272</v>
      </c>
      <c r="E340" s="14" t="s">
        <v>126</v>
      </c>
      <c r="F340" s="24">
        <v>143100</v>
      </c>
      <c r="G340" s="24">
        <v>31370</v>
      </c>
    </row>
    <row r="341" ht="51" spans="1:7">
      <c r="A341" s="13" t="s">
        <v>1273</v>
      </c>
      <c r="B341" s="13" t="s">
        <v>1274</v>
      </c>
      <c r="C341" s="13" t="s">
        <v>1275</v>
      </c>
      <c r="D341" s="13" t="s">
        <v>1276</v>
      </c>
      <c r="E341" s="14" t="s">
        <v>126</v>
      </c>
      <c r="F341" s="24">
        <v>599100</v>
      </c>
      <c r="G341" s="24">
        <v>33950</v>
      </c>
    </row>
    <row r="342" ht="51" spans="1:7">
      <c r="A342" s="13" t="s">
        <v>1277</v>
      </c>
      <c r="B342" s="13" t="s">
        <v>1278</v>
      </c>
      <c r="C342" s="13" t="s">
        <v>1279</v>
      </c>
      <c r="D342" s="13" t="s">
        <v>1280</v>
      </c>
      <c r="E342" s="14" t="s">
        <v>126</v>
      </c>
      <c r="F342" s="24">
        <v>188100</v>
      </c>
      <c r="G342" s="24">
        <v>31370</v>
      </c>
    </row>
    <row r="343" ht="51" spans="1:7">
      <c r="A343" s="13" t="s">
        <v>1281</v>
      </c>
      <c r="B343" s="13" t="s">
        <v>1282</v>
      </c>
      <c r="C343" s="13" t="s">
        <v>1283</v>
      </c>
      <c r="D343" s="13" t="s">
        <v>1284</v>
      </c>
      <c r="E343" s="14" t="s">
        <v>225</v>
      </c>
      <c r="F343" s="24">
        <v>212000</v>
      </c>
      <c r="G343" s="24">
        <v>31370</v>
      </c>
    </row>
    <row r="344" ht="51" spans="1:7">
      <c r="A344" s="16" t="s">
        <v>1285</v>
      </c>
      <c r="B344" s="13" t="s">
        <v>1286</v>
      </c>
      <c r="C344" s="13" t="s">
        <v>1287</v>
      </c>
      <c r="D344" s="16" t="s">
        <v>1288</v>
      </c>
      <c r="E344" s="17" t="s">
        <v>126</v>
      </c>
      <c r="F344" s="25">
        <v>212000</v>
      </c>
      <c r="G344" s="25">
        <v>31370</v>
      </c>
    </row>
    <row r="345" ht="51" spans="1:7">
      <c r="A345" s="13" t="s">
        <v>1289</v>
      </c>
      <c r="B345" s="13" t="s">
        <v>1290</v>
      </c>
      <c r="C345" s="13" t="s">
        <v>1291</v>
      </c>
      <c r="D345" s="13" t="s">
        <v>1292</v>
      </c>
      <c r="E345" s="14" t="s">
        <v>126</v>
      </c>
      <c r="F345" s="24">
        <v>163800</v>
      </c>
      <c r="G345" s="24">
        <v>31370</v>
      </c>
    </row>
    <row r="346" ht="51" spans="1:7">
      <c r="A346" s="13" t="s">
        <v>1293</v>
      </c>
      <c r="B346" s="13" t="s">
        <v>1294</v>
      </c>
      <c r="C346" s="13" t="s">
        <v>1295</v>
      </c>
      <c r="D346" s="13" t="s">
        <v>1296</v>
      </c>
      <c r="E346" s="14" t="s">
        <v>126</v>
      </c>
      <c r="F346" s="24">
        <v>488000</v>
      </c>
      <c r="G346" s="24">
        <v>31590</v>
      </c>
    </row>
    <row r="347" ht="51" spans="1:7">
      <c r="A347" s="13" t="s">
        <v>1297</v>
      </c>
      <c r="B347" s="13" t="s">
        <v>1298</v>
      </c>
      <c r="C347" s="13" t="s">
        <v>1299</v>
      </c>
      <c r="D347" s="13" t="s">
        <v>1300</v>
      </c>
      <c r="E347" s="14" t="s">
        <v>126</v>
      </c>
      <c r="F347" s="24">
        <v>255000</v>
      </c>
      <c r="G347" s="24">
        <v>31590</v>
      </c>
    </row>
    <row r="348" ht="51" spans="1:7">
      <c r="A348" s="13" t="s">
        <v>1301</v>
      </c>
      <c r="B348" s="13" t="s">
        <v>1302</v>
      </c>
      <c r="C348" s="13" t="s">
        <v>1303</v>
      </c>
      <c r="D348" s="13" t="s">
        <v>1304</v>
      </c>
      <c r="E348" s="14" t="s">
        <v>126</v>
      </c>
      <c r="F348" s="24">
        <v>576000</v>
      </c>
      <c r="G348" s="24">
        <v>33950</v>
      </c>
    </row>
    <row r="349" ht="25.5" spans="1:7">
      <c r="A349" s="13" t="s">
        <v>1305</v>
      </c>
      <c r="B349" s="13" t="s">
        <v>1306</v>
      </c>
      <c r="C349" s="13" t="s">
        <v>1307</v>
      </c>
      <c r="D349" s="13" t="s">
        <v>1308</v>
      </c>
      <c r="E349" s="14" t="s">
        <v>664</v>
      </c>
      <c r="F349" s="24">
        <v>22800</v>
      </c>
      <c r="G349" s="24">
        <v>10900</v>
      </c>
    </row>
    <row r="350" ht="25.5" spans="1:7">
      <c r="A350" s="13" t="s">
        <v>1309</v>
      </c>
      <c r="B350" s="13"/>
      <c r="C350" s="13" t="s">
        <v>1310</v>
      </c>
      <c r="D350" s="13" t="s">
        <v>1311</v>
      </c>
      <c r="E350" s="14" t="s">
        <v>215</v>
      </c>
      <c r="F350" s="24">
        <v>0</v>
      </c>
      <c r="G350" s="24">
        <v>103500</v>
      </c>
    </row>
    <row r="351" ht="51" spans="1:7">
      <c r="A351" s="13" t="s">
        <v>1312</v>
      </c>
      <c r="B351" s="13" t="s">
        <v>1313</v>
      </c>
      <c r="C351" s="13" t="s">
        <v>1314</v>
      </c>
      <c r="D351" s="13" t="s">
        <v>1315</v>
      </c>
      <c r="E351" s="14" t="s">
        <v>126</v>
      </c>
      <c r="F351" s="24">
        <v>15500</v>
      </c>
      <c r="G351" s="24">
        <v>7470</v>
      </c>
    </row>
    <row r="352" ht="51" spans="1:7">
      <c r="A352" s="13" t="s">
        <v>1316</v>
      </c>
      <c r="B352" s="13" t="s">
        <v>1317</v>
      </c>
      <c r="C352" s="13" t="s">
        <v>1318</v>
      </c>
      <c r="D352" s="13" t="s">
        <v>1319</v>
      </c>
      <c r="E352" s="14" t="s">
        <v>126</v>
      </c>
      <c r="F352" s="24">
        <v>15490</v>
      </c>
      <c r="G352" s="24">
        <v>7750</v>
      </c>
    </row>
    <row r="353" ht="38.25" spans="1:7">
      <c r="A353" s="13" t="s">
        <v>1320</v>
      </c>
      <c r="B353" s="13" t="s">
        <v>1321</v>
      </c>
      <c r="C353" s="13" t="s">
        <v>1322</v>
      </c>
      <c r="D353" s="13" t="s">
        <v>1323</v>
      </c>
      <c r="E353" s="14" t="s">
        <v>126</v>
      </c>
      <c r="F353" s="24">
        <v>15500</v>
      </c>
      <c r="G353" s="24">
        <v>7660</v>
      </c>
    </row>
    <row r="354" ht="38.25" spans="1:7">
      <c r="A354" s="13" t="s">
        <v>1324</v>
      </c>
      <c r="B354" s="13" t="s">
        <v>1325</v>
      </c>
      <c r="C354" s="13" t="s">
        <v>1326</v>
      </c>
      <c r="D354" s="13" t="s">
        <v>1327</v>
      </c>
      <c r="E354" s="14" t="s">
        <v>215</v>
      </c>
      <c r="F354" s="24">
        <v>1339000</v>
      </c>
      <c r="G354" s="24">
        <v>578100</v>
      </c>
    </row>
    <row r="355" ht="38.25" spans="1:7">
      <c r="A355" s="13" t="s">
        <v>1328</v>
      </c>
      <c r="B355" s="13" t="s">
        <v>1329</v>
      </c>
      <c r="C355" s="13" t="s">
        <v>1330</v>
      </c>
      <c r="D355" s="13" t="s">
        <v>1331</v>
      </c>
      <c r="E355" s="14" t="s">
        <v>215</v>
      </c>
      <c r="F355" s="24">
        <v>2180000</v>
      </c>
      <c r="G355" s="24">
        <v>723600</v>
      </c>
    </row>
    <row r="356" ht="102" spans="1:7">
      <c r="A356" s="13" t="s">
        <v>1332</v>
      </c>
      <c r="B356" s="13" t="s">
        <v>1333</v>
      </c>
      <c r="C356" s="13" t="s">
        <v>1334</v>
      </c>
      <c r="D356" s="13" t="s">
        <v>1335</v>
      </c>
      <c r="E356" s="14" t="s">
        <v>664</v>
      </c>
      <c r="F356" s="24">
        <v>976700</v>
      </c>
      <c r="G356" s="24">
        <v>224700</v>
      </c>
    </row>
    <row r="357" ht="102" spans="1:7">
      <c r="A357" s="13" t="s">
        <v>1336</v>
      </c>
      <c r="B357" s="13" t="s">
        <v>1337</v>
      </c>
      <c r="C357" s="13" t="s">
        <v>1338</v>
      </c>
      <c r="D357" s="13" t="s">
        <v>1339</v>
      </c>
      <c r="E357" s="14" t="s">
        <v>664</v>
      </c>
      <c r="F357" s="24">
        <v>1088000</v>
      </c>
      <c r="G357" s="24">
        <v>224700</v>
      </c>
    </row>
    <row r="358" ht="63.75" spans="1:7">
      <c r="A358" s="13" t="s">
        <v>1340</v>
      </c>
      <c r="B358" s="13" t="s">
        <v>1341</v>
      </c>
      <c r="C358" s="13" t="s">
        <v>1342</v>
      </c>
      <c r="D358" s="13" t="s">
        <v>1343</v>
      </c>
      <c r="E358" s="14" t="s">
        <v>706</v>
      </c>
      <c r="F358" s="24">
        <v>999300</v>
      </c>
      <c r="G358" s="24">
        <v>167800</v>
      </c>
    </row>
    <row r="359" ht="51" spans="1:7">
      <c r="A359" s="13" t="s">
        <v>1344</v>
      </c>
      <c r="B359" s="13" t="s">
        <v>1345</v>
      </c>
      <c r="C359" s="13" t="s">
        <v>1346</v>
      </c>
      <c r="D359" s="13" t="s">
        <v>1347</v>
      </c>
      <c r="E359" s="14" t="s">
        <v>215</v>
      </c>
      <c r="F359" s="24">
        <v>1230000</v>
      </c>
      <c r="G359" s="24">
        <v>190500</v>
      </c>
    </row>
    <row r="360" ht="89.25" spans="1:7">
      <c r="A360" s="13" t="s">
        <v>1348</v>
      </c>
      <c r="B360" s="13" t="s">
        <v>1349</v>
      </c>
      <c r="C360" s="13" t="s">
        <v>1350</v>
      </c>
      <c r="D360" s="13" t="s">
        <v>1351</v>
      </c>
      <c r="E360" s="14" t="s">
        <v>215</v>
      </c>
      <c r="F360" s="24">
        <v>864400</v>
      </c>
      <c r="G360" s="24">
        <v>190500</v>
      </c>
    </row>
    <row r="361" ht="51" spans="1:7">
      <c r="A361" s="13" t="s">
        <v>1352</v>
      </c>
      <c r="B361" s="13" t="s">
        <v>1353</v>
      </c>
      <c r="C361" s="13" t="s">
        <v>1354</v>
      </c>
      <c r="D361" s="13" t="s">
        <v>1355</v>
      </c>
      <c r="E361" s="14" t="s">
        <v>215</v>
      </c>
      <c r="F361" s="24">
        <v>1650000</v>
      </c>
      <c r="G361" s="24">
        <v>213900</v>
      </c>
    </row>
    <row r="362" ht="140.25" spans="1:7">
      <c r="A362" s="13" t="s">
        <v>1356</v>
      </c>
      <c r="B362" s="13" t="s">
        <v>1357</v>
      </c>
      <c r="C362" s="13" t="s">
        <v>1358</v>
      </c>
      <c r="D362" s="13" t="s">
        <v>1359</v>
      </c>
      <c r="E362" s="14" t="s">
        <v>664</v>
      </c>
      <c r="F362" s="24">
        <v>1088000</v>
      </c>
      <c r="G362" s="24">
        <v>222200</v>
      </c>
    </row>
    <row r="363" ht="76.5" spans="1:7">
      <c r="A363" s="13" t="s">
        <v>1360</v>
      </c>
      <c r="B363" s="13" t="s">
        <v>1361</v>
      </c>
      <c r="C363" s="13" t="s">
        <v>1362</v>
      </c>
      <c r="D363" s="13" t="s">
        <v>1363</v>
      </c>
      <c r="E363" s="14" t="s">
        <v>126</v>
      </c>
      <c r="F363" s="24">
        <v>1240000</v>
      </c>
      <c r="G363" s="24">
        <v>407400</v>
      </c>
    </row>
    <row r="364" ht="51" spans="1:7">
      <c r="A364" s="13" t="s">
        <v>1364</v>
      </c>
      <c r="B364" s="13"/>
      <c r="C364" s="13" t="s">
        <v>1365</v>
      </c>
      <c r="D364" s="13" t="s">
        <v>1366</v>
      </c>
      <c r="E364" s="14" t="s">
        <v>1256</v>
      </c>
      <c r="F364" s="26">
        <f>0</f>
        <v>0</v>
      </c>
      <c r="G364" s="26">
        <f>0</f>
        <v>0</v>
      </c>
    </row>
    <row r="365" ht="63.75" spans="1:7">
      <c r="A365" s="13" t="s">
        <v>1367</v>
      </c>
      <c r="B365" s="13"/>
      <c r="C365" s="13" t="s">
        <v>1368</v>
      </c>
      <c r="D365" s="13" t="s">
        <v>1369</v>
      </c>
      <c r="E365" s="14" t="s">
        <v>1256</v>
      </c>
      <c r="F365" s="26">
        <f>0</f>
        <v>0</v>
      </c>
      <c r="G365" s="26">
        <f>0</f>
        <v>0</v>
      </c>
    </row>
    <row r="366" spans="1:7">
      <c r="A366" s="13" t="s">
        <v>1370</v>
      </c>
      <c r="B366" s="13"/>
      <c r="C366" s="13" t="s">
        <v>1371</v>
      </c>
      <c r="D366" s="13" t="s">
        <v>1372</v>
      </c>
      <c r="E366" s="14" t="s">
        <v>151</v>
      </c>
      <c r="F366" s="24">
        <v>0</v>
      </c>
      <c r="G366" s="24">
        <v>270</v>
      </c>
    </row>
    <row r="367" ht="25.5" spans="1:7">
      <c r="A367" s="13" t="s">
        <v>1373</v>
      </c>
      <c r="B367" s="13"/>
      <c r="C367" s="13" t="s">
        <v>1374</v>
      </c>
      <c r="D367" s="13" t="s">
        <v>1375</v>
      </c>
      <c r="E367" s="14" t="s">
        <v>25</v>
      </c>
      <c r="F367" s="24">
        <v>0</v>
      </c>
      <c r="G367" s="24">
        <v>530</v>
      </c>
    </row>
    <row r="368" ht="25.5" spans="1:7">
      <c r="A368" s="13" t="s">
        <v>1376</v>
      </c>
      <c r="B368" s="13"/>
      <c r="C368" s="13" t="s">
        <v>1377</v>
      </c>
      <c r="D368" s="13" t="s">
        <v>1378</v>
      </c>
      <c r="E368" s="14" t="s">
        <v>25</v>
      </c>
      <c r="F368" s="24">
        <v>0</v>
      </c>
      <c r="G368" s="24">
        <v>530</v>
      </c>
    </row>
    <row r="369" ht="25.5" spans="1:7">
      <c r="A369" s="13" t="s">
        <v>1379</v>
      </c>
      <c r="B369" s="13"/>
      <c r="C369" s="13" t="s">
        <v>1380</v>
      </c>
      <c r="D369" s="13" t="s">
        <v>1381</v>
      </c>
      <c r="E369" s="14" t="s">
        <v>609</v>
      </c>
      <c r="F369" s="24">
        <v>0</v>
      </c>
      <c r="G369" s="24">
        <v>581800</v>
      </c>
    </row>
    <row r="370" ht="25.5" spans="1:7">
      <c r="A370" s="13" t="s">
        <v>1382</v>
      </c>
      <c r="B370" s="13"/>
      <c r="C370" s="13" t="s">
        <v>1383</v>
      </c>
      <c r="D370" s="13" t="s">
        <v>1384</v>
      </c>
      <c r="E370" s="14" t="s">
        <v>135</v>
      </c>
      <c r="F370" s="24">
        <v>0</v>
      </c>
      <c r="G370" s="24">
        <v>35370</v>
      </c>
    </row>
    <row r="371" ht="25.5" spans="1:7">
      <c r="A371" s="13" t="s">
        <v>1385</v>
      </c>
      <c r="B371" s="13"/>
      <c r="C371" s="13" t="s">
        <v>1386</v>
      </c>
      <c r="D371" s="13" t="s">
        <v>741</v>
      </c>
      <c r="E371" s="14" t="s">
        <v>135</v>
      </c>
      <c r="F371" s="24">
        <v>0</v>
      </c>
      <c r="G371" s="24">
        <v>9650</v>
      </c>
    </row>
    <row r="372" ht="25.5" spans="1:7">
      <c r="A372" s="13" t="s">
        <v>1387</v>
      </c>
      <c r="B372" s="13"/>
      <c r="C372" s="13" t="s">
        <v>1388</v>
      </c>
      <c r="D372" s="13" t="s">
        <v>1389</v>
      </c>
      <c r="E372" s="14" t="s">
        <v>135</v>
      </c>
      <c r="F372" s="24">
        <v>0</v>
      </c>
      <c r="G372" s="24">
        <v>138000</v>
      </c>
    </row>
    <row r="373" ht="51" spans="1:7">
      <c r="A373" s="13" t="s">
        <v>1390</v>
      </c>
      <c r="B373" s="13" t="s">
        <v>1391</v>
      </c>
      <c r="C373" s="13" t="s">
        <v>1392</v>
      </c>
      <c r="D373" s="13" t="s">
        <v>1393</v>
      </c>
      <c r="E373" s="14" t="s">
        <v>215</v>
      </c>
      <c r="F373" s="24">
        <v>157800</v>
      </c>
      <c r="G373" s="24">
        <v>32710</v>
      </c>
    </row>
    <row r="374" ht="51" spans="1:7">
      <c r="A374" s="13" t="s">
        <v>1394</v>
      </c>
      <c r="B374" s="13" t="s">
        <v>1395</v>
      </c>
      <c r="C374" s="13" t="s">
        <v>1396</v>
      </c>
      <c r="D374" s="13" t="s">
        <v>1397</v>
      </c>
      <c r="E374" s="14" t="s">
        <v>215</v>
      </c>
      <c r="F374" s="24">
        <v>176800</v>
      </c>
      <c r="G374" s="24">
        <v>38170</v>
      </c>
    </row>
    <row r="375" ht="51" spans="1:7">
      <c r="A375" s="13" t="s">
        <v>1398</v>
      </c>
      <c r="B375" s="13" t="s">
        <v>1399</v>
      </c>
      <c r="C375" s="13" t="s">
        <v>1400</v>
      </c>
      <c r="D375" s="13" t="s">
        <v>1401</v>
      </c>
      <c r="E375" s="14" t="s">
        <v>215</v>
      </c>
      <c r="F375" s="24">
        <v>236000</v>
      </c>
      <c r="G375" s="24">
        <v>43620</v>
      </c>
    </row>
    <row r="376" spans="1:7">
      <c r="A376" s="13" t="s">
        <v>1402</v>
      </c>
      <c r="B376" s="13" t="s">
        <v>1403</v>
      </c>
      <c r="C376" s="13" t="s">
        <v>1404</v>
      </c>
      <c r="D376" s="13" t="s">
        <v>1405</v>
      </c>
      <c r="E376" s="14" t="s">
        <v>135</v>
      </c>
      <c r="F376" s="24">
        <v>7580</v>
      </c>
      <c r="G376" s="24">
        <v>11640</v>
      </c>
    </row>
    <row r="377" ht="51" spans="1:7">
      <c r="A377" s="13" t="s">
        <v>1406</v>
      </c>
      <c r="B377" s="13" t="s">
        <v>1407</v>
      </c>
      <c r="C377" s="13" t="s">
        <v>1408</v>
      </c>
      <c r="D377" s="13" t="s">
        <v>1409</v>
      </c>
      <c r="E377" s="14" t="s">
        <v>126</v>
      </c>
      <c r="F377" s="24">
        <v>771000</v>
      </c>
      <c r="G377" s="24">
        <v>31520</v>
      </c>
    </row>
    <row r="378" ht="51" spans="1:7">
      <c r="A378" s="13" t="s">
        <v>1410</v>
      </c>
      <c r="B378" s="13" t="s">
        <v>1411</v>
      </c>
      <c r="C378" s="13" t="s">
        <v>1412</v>
      </c>
      <c r="D378" s="13" t="s">
        <v>1413</v>
      </c>
      <c r="E378" s="14" t="s">
        <v>126</v>
      </c>
      <c r="F378" s="24">
        <v>454000</v>
      </c>
      <c r="G378" s="24">
        <v>31520</v>
      </c>
    </row>
    <row r="379" ht="51" spans="1:7">
      <c r="A379" s="13" t="s">
        <v>1414</v>
      </c>
      <c r="B379" s="13" t="s">
        <v>1415</v>
      </c>
      <c r="C379" s="13" t="s">
        <v>1416</v>
      </c>
      <c r="D379" s="13" t="s">
        <v>1417</v>
      </c>
      <c r="E379" s="14" t="s">
        <v>126</v>
      </c>
      <c r="F379" s="24">
        <v>1425000</v>
      </c>
      <c r="G379" s="24">
        <v>31520</v>
      </c>
    </row>
    <row r="380" ht="51" spans="1:7">
      <c r="A380" s="13" t="s">
        <v>1418</v>
      </c>
      <c r="B380" s="13" t="s">
        <v>1419</v>
      </c>
      <c r="C380" s="13" t="s">
        <v>1420</v>
      </c>
      <c r="D380" s="13" t="s">
        <v>1421</v>
      </c>
      <c r="E380" s="14" t="s">
        <v>126</v>
      </c>
      <c r="F380" s="24">
        <v>504600</v>
      </c>
      <c r="G380" s="24">
        <v>31520</v>
      </c>
    </row>
    <row r="381" ht="51" spans="1:7">
      <c r="A381" s="13" t="s">
        <v>1422</v>
      </c>
      <c r="B381" s="13" t="s">
        <v>1423</v>
      </c>
      <c r="C381" s="13" t="s">
        <v>1424</v>
      </c>
      <c r="D381" s="13" t="s">
        <v>1425</v>
      </c>
      <c r="E381" s="14" t="s">
        <v>126</v>
      </c>
      <c r="F381" s="24">
        <v>588400</v>
      </c>
      <c r="G381" s="24">
        <v>31520</v>
      </c>
    </row>
    <row r="382" spans="1:7">
      <c r="A382" s="13" t="s">
        <v>1426</v>
      </c>
      <c r="B382" s="13"/>
      <c r="C382" s="13" t="s">
        <v>1427</v>
      </c>
      <c r="D382" s="13" t="s">
        <v>1428</v>
      </c>
      <c r="E382" s="14" t="s">
        <v>928</v>
      </c>
      <c r="F382" s="24">
        <v>0</v>
      </c>
      <c r="G382" s="24">
        <v>6847000</v>
      </c>
    </row>
    <row r="383" ht="51" spans="1:7">
      <c r="A383" s="13" t="s">
        <v>1429</v>
      </c>
      <c r="B383" s="13" t="s">
        <v>1430</v>
      </c>
      <c r="C383" s="13" t="s">
        <v>1431</v>
      </c>
      <c r="D383" s="13" t="s">
        <v>1432</v>
      </c>
      <c r="E383" s="14" t="s">
        <v>126</v>
      </c>
      <c r="F383" s="24">
        <v>249400</v>
      </c>
      <c r="G383" s="24">
        <v>35160</v>
      </c>
    </row>
    <row r="384" ht="51" spans="1:7">
      <c r="A384" s="13" t="s">
        <v>1433</v>
      </c>
      <c r="B384" s="13" t="s">
        <v>1434</v>
      </c>
      <c r="C384" s="13" t="s">
        <v>1435</v>
      </c>
      <c r="D384" s="13" t="s">
        <v>1436</v>
      </c>
      <c r="E384" s="14" t="s">
        <v>126</v>
      </c>
      <c r="F384" s="24">
        <v>105500</v>
      </c>
      <c r="G384" s="24">
        <v>14400</v>
      </c>
    </row>
    <row r="385" ht="25.5" spans="1:7">
      <c r="A385" s="13" t="s">
        <v>1437</v>
      </c>
      <c r="B385" s="13" t="s">
        <v>1438</v>
      </c>
      <c r="C385" s="13" t="s">
        <v>1439</v>
      </c>
      <c r="D385" s="13" t="s">
        <v>1440</v>
      </c>
      <c r="E385" s="14" t="s">
        <v>225</v>
      </c>
      <c r="F385" s="24">
        <v>88390</v>
      </c>
      <c r="G385" s="24">
        <v>15520</v>
      </c>
    </row>
    <row r="386" ht="63.75" spans="1:7">
      <c r="A386" s="13" t="s">
        <v>1441</v>
      </c>
      <c r="B386" s="13" t="s">
        <v>1442</v>
      </c>
      <c r="C386" s="13" t="s">
        <v>1443</v>
      </c>
      <c r="D386" s="13" t="s">
        <v>1444</v>
      </c>
      <c r="E386" s="14" t="s">
        <v>126</v>
      </c>
      <c r="F386" s="24">
        <v>194000</v>
      </c>
      <c r="G386" s="24">
        <v>146000</v>
      </c>
    </row>
    <row r="387" ht="63.75" spans="1:7">
      <c r="A387" s="13" t="s">
        <v>1445</v>
      </c>
      <c r="B387" s="13" t="s">
        <v>1446</v>
      </c>
      <c r="C387" s="13" t="s">
        <v>1447</v>
      </c>
      <c r="D387" s="13" t="s">
        <v>1448</v>
      </c>
      <c r="E387" s="14" t="s">
        <v>126</v>
      </c>
      <c r="F387" s="24">
        <v>211900</v>
      </c>
      <c r="G387" s="24">
        <v>157700</v>
      </c>
    </row>
    <row r="388" ht="63.75" spans="1:7">
      <c r="A388" s="13" t="s">
        <v>1449</v>
      </c>
      <c r="B388" s="13" t="s">
        <v>1450</v>
      </c>
      <c r="C388" s="13" t="s">
        <v>1451</v>
      </c>
      <c r="D388" s="13" t="s">
        <v>1452</v>
      </c>
      <c r="E388" s="14" t="s">
        <v>126</v>
      </c>
      <c r="F388" s="24">
        <v>591900</v>
      </c>
      <c r="G388" s="24">
        <v>173500</v>
      </c>
    </row>
    <row r="389" ht="63.75" spans="1:7">
      <c r="A389" s="13" t="s">
        <v>1453</v>
      </c>
      <c r="B389" s="13" t="s">
        <v>1454</v>
      </c>
      <c r="C389" s="13" t="s">
        <v>1455</v>
      </c>
      <c r="D389" s="13" t="s">
        <v>1456</v>
      </c>
      <c r="E389" s="14" t="s">
        <v>126</v>
      </c>
      <c r="F389" s="24">
        <v>495500</v>
      </c>
      <c r="G389" s="24">
        <v>190800</v>
      </c>
    </row>
    <row r="390" ht="38.25" spans="1:7">
      <c r="A390" s="13" t="s">
        <v>1457</v>
      </c>
      <c r="B390" s="13" t="s">
        <v>1458</v>
      </c>
      <c r="C390" s="13" t="s">
        <v>1459</v>
      </c>
      <c r="D390" s="13" t="s">
        <v>1460</v>
      </c>
      <c r="E390" s="14" t="s">
        <v>126</v>
      </c>
      <c r="F390" s="24">
        <v>8230</v>
      </c>
      <c r="G390" s="24">
        <v>5540</v>
      </c>
    </row>
    <row r="391" ht="25.5" spans="1:7">
      <c r="A391" s="13" t="s">
        <v>1461</v>
      </c>
      <c r="B391" s="13"/>
      <c r="C391" s="13" t="s">
        <v>1462</v>
      </c>
      <c r="D391" s="13" t="s">
        <v>1463</v>
      </c>
      <c r="E391" s="14" t="s">
        <v>644</v>
      </c>
      <c r="F391" s="24">
        <v>0</v>
      </c>
      <c r="G391" s="24">
        <v>171800</v>
      </c>
    </row>
    <row r="392" spans="1:7">
      <c r="A392" s="13" t="s">
        <v>1464</v>
      </c>
      <c r="B392" s="13" t="s">
        <v>1465</v>
      </c>
      <c r="C392" s="13" t="s">
        <v>1466</v>
      </c>
      <c r="D392" s="13" t="s">
        <v>1467</v>
      </c>
      <c r="E392" s="14" t="s">
        <v>135</v>
      </c>
      <c r="F392" s="24">
        <v>26240</v>
      </c>
      <c r="G392" s="24">
        <v>13580</v>
      </c>
    </row>
    <row r="393" ht="38.25" spans="1:7">
      <c r="A393" s="13" t="s">
        <v>1468</v>
      </c>
      <c r="B393" s="13" t="s">
        <v>1469</v>
      </c>
      <c r="C393" s="13" t="s">
        <v>1470</v>
      </c>
      <c r="D393" s="13" t="s">
        <v>1471</v>
      </c>
      <c r="E393" s="14" t="s">
        <v>126</v>
      </c>
      <c r="F393" s="24">
        <v>21040</v>
      </c>
      <c r="G393" s="24">
        <v>13550</v>
      </c>
    </row>
    <row r="394" ht="25.5" spans="1:7">
      <c r="A394" s="13" t="s">
        <v>1472</v>
      </c>
      <c r="B394" s="13" t="s">
        <v>1473</v>
      </c>
      <c r="C394" s="13" t="s">
        <v>1474</v>
      </c>
      <c r="D394" s="13" t="s">
        <v>1475</v>
      </c>
      <c r="E394" s="14" t="s">
        <v>135</v>
      </c>
      <c r="F394" s="24">
        <v>15990</v>
      </c>
      <c r="G394" s="24">
        <v>8750</v>
      </c>
    </row>
    <row r="395" ht="25.5" spans="1:7">
      <c r="A395" s="13" t="s">
        <v>1476</v>
      </c>
      <c r="B395" s="13" t="s">
        <v>1477</v>
      </c>
      <c r="C395" s="13" t="s">
        <v>1478</v>
      </c>
      <c r="D395" s="13" t="s">
        <v>1479</v>
      </c>
      <c r="E395" s="14" t="s">
        <v>135</v>
      </c>
      <c r="F395" s="24">
        <v>27840</v>
      </c>
      <c r="G395" s="24">
        <v>13670</v>
      </c>
    </row>
    <row r="396" ht="25.5" spans="1:7">
      <c r="A396" s="13" t="s">
        <v>1480</v>
      </c>
      <c r="B396" s="13" t="s">
        <v>1481</v>
      </c>
      <c r="C396" s="13" t="s">
        <v>1482</v>
      </c>
      <c r="D396" s="13" t="s">
        <v>1483</v>
      </c>
      <c r="E396" s="14" t="s">
        <v>215</v>
      </c>
      <c r="F396" s="24">
        <v>36470</v>
      </c>
      <c r="G396" s="24">
        <v>12060</v>
      </c>
    </row>
    <row r="397" ht="63.75" spans="1:7">
      <c r="A397" s="13" t="s">
        <v>1484</v>
      </c>
      <c r="B397" s="13" t="s">
        <v>1485</v>
      </c>
      <c r="C397" s="13" t="s">
        <v>1486</v>
      </c>
      <c r="D397" s="13" t="s">
        <v>1487</v>
      </c>
      <c r="E397" s="14" t="s">
        <v>126</v>
      </c>
      <c r="F397" s="24">
        <v>214500</v>
      </c>
      <c r="G397" s="24">
        <v>56260</v>
      </c>
    </row>
    <row r="398" spans="1:7">
      <c r="A398" s="13" t="s">
        <v>1488</v>
      </c>
      <c r="B398" s="13" t="s">
        <v>1489</v>
      </c>
      <c r="C398" s="13" t="s">
        <v>1490</v>
      </c>
      <c r="D398" s="13" t="s">
        <v>1491</v>
      </c>
      <c r="E398" s="14" t="s">
        <v>25</v>
      </c>
      <c r="F398" s="24">
        <v>4900</v>
      </c>
      <c r="G398" s="24">
        <v>750</v>
      </c>
    </row>
    <row r="399" ht="38.25" spans="1:7">
      <c r="A399" s="13" t="s">
        <v>1492</v>
      </c>
      <c r="B399" s="13" t="s">
        <v>1493</v>
      </c>
      <c r="C399" s="13" t="s">
        <v>1494</v>
      </c>
      <c r="D399" s="13" t="s">
        <v>1495</v>
      </c>
      <c r="E399" s="14" t="s">
        <v>151</v>
      </c>
      <c r="F399" s="24">
        <v>17980</v>
      </c>
      <c r="G399" s="24">
        <v>3490</v>
      </c>
    </row>
    <row r="400" ht="89.25" spans="1:7">
      <c r="A400" s="16" t="s">
        <v>1496</v>
      </c>
      <c r="B400" s="13" t="s">
        <v>1497</v>
      </c>
      <c r="C400" s="13" t="s">
        <v>1498</v>
      </c>
      <c r="D400" s="16" t="s">
        <v>143</v>
      </c>
      <c r="E400" s="17" t="s">
        <v>126</v>
      </c>
      <c r="F400" s="27">
        <v>568200</v>
      </c>
      <c r="G400" s="27">
        <v>271600</v>
      </c>
    </row>
    <row r="401" ht="76.5" spans="1:7">
      <c r="A401" s="13" t="s">
        <v>1499</v>
      </c>
      <c r="B401" s="13" t="s">
        <v>1500</v>
      </c>
      <c r="C401" s="13" t="s">
        <v>1501</v>
      </c>
      <c r="D401" s="13" t="s">
        <v>1502</v>
      </c>
      <c r="E401" s="14" t="s">
        <v>126</v>
      </c>
      <c r="F401" s="24">
        <v>6180000</v>
      </c>
      <c r="G401" s="24">
        <v>83720</v>
      </c>
    </row>
    <row r="402" ht="89.25" spans="1:7">
      <c r="A402" s="13" t="s">
        <v>1503</v>
      </c>
      <c r="B402" s="13" t="s">
        <v>1504</v>
      </c>
      <c r="C402" s="13" t="s">
        <v>1505</v>
      </c>
      <c r="D402" s="13" t="s">
        <v>1506</v>
      </c>
      <c r="E402" s="14" t="s">
        <v>126</v>
      </c>
      <c r="F402" s="24">
        <v>812000</v>
      </c>
      <c r="G402" s="24">
        <v>630500</v>
      </c>
    </row>
    <row r="403" ht="89.25" spans="1:7">
      <c r="A403" s="13" t="s">
        <v>1507</v>
      </c>
      <c r="B403" s="13" t="s">
        <v>1508</v>
      </c>
      <c r="C403" s="13" t="s">
        <v>1509</v>
      </c>
      <c r="D403" s="13" t="s">
        <v>1510</v>
      </c>
      <c r="E403" s="14" t="s">
        <v>126</v>
      </c>
      <c r="F403" s="24">
        <v>1626000</v>
      </c>
      <c r="G403" s="24">
        <v>1794000</v>
      </c>
    </row>
    <row r="404" ht="89.25" spans="1:7">
      <c r="A404" s="13" t="s">
        <v>1511</v>
      </c>
      <c r="B404" s="13" t="s">
        <v>1512</v>
      </c>
      <c r="C404" s="13" t="s">
        <v>1513</v>
      </c>
      <c r="D404" s="13" t="s">
        <v>1514</v>
      </c>
      <c r="E404" s="14" t="s">
        <v>126</v>
      </c>
      <c r="F404" s="24">
        <v>3660000</v>
      </c>
      <c r="G404" s="24">
        <v>5478000</v>
      </c>
    </row>
    <row r="405" ht="38.25" spans="1:7">
      <c r="A405" s="13" t="s">
        <v>1515</v>
      </c>
      <c r="B405" s="13" t="s">
        <v>1516</v>
      </c>
      <c r="C405" s="13" t="s">
        <v>1517</v>
      </c>
      <c r="D405" s="13" t="s">
        <v>1518</v>
      </c>
      <c r="E405" s="14" t="s">
        <v>151</v>
      </c>
      <c r="F405" s="24">
        <v>98500</v>
      </c>
      <c r="G405" s="24">
        <v>39200</v>
      </c>
    </row>
    <row r="406" ht="38.25" spans="1:7">
      <c r="A406" s="13" t="s">
        <v>1519</v>
      </c>
      <c r="B406" s="13" t="s">
        <v>1520</v>
      </c>
      <c r="C406" s="13" t="s">
        <v>1521</v>
      </c>
      <c r="D406" s="13" t="s">
        <v>1522</v>
      </c>
      <c r="E406" s="14" t="s">
        <v>151</v>
      </c>
      <c r="F406" s="24">
        <v>118500</v>
      </c>
      <c r="G406" s="24">
        <v>39200</v>
      </c>
    </row>
    <row r="407" ht="38.25" spans="1:7">
      <c r="A407" s="13" t="s">
        <v>1523</v>
      </c>
      <c r="B407" s="13" t="s">
        <v>1524</v>
      </c>
      <c r="C407" s="13" t="s">
        <v>1525</v>
      </c>
      <c r="D407" s="13" t="s">
        <v>1526</v>
      </c>
      <c r="E407" s="14" t="s">
        <v>151</v>
      </c>
      <c r="F407" s="24">
        <v>49200</v>
      </c>
      <c r="G407" s="24">
        <v>41220</v>
      </c>
    </row>
    <row r="408" ht="38.25" spans="1:7">
      <c r="A408" s="13" t="s">
        <v>1527</v>
      </c>
      <c r="B408" s="13" t="s">
        <v>1528</v>
      </c>
      <c r="C408" s="13" t="s">
        <v>1529</v>
      </c>
      <c r="D408" s="13" t="s">
        <v>1530</v>
      </c>
      <c r="E408" s="14" t="s">
        <v>151</v>
      </c>
      <c r="F408" s="24">
        <v>75000</v>
      </c>
      <c r="G408" s="24">
        <v>41220</v>
      </c>
    </row>
    <row r="409" ht="38.25" spans="1:7">
      <c r="A409" s="13" t="s">
        <v>1531</v>
      </c>
      <c r="B409" s="13" t="s">
        <v>1532</v>
      </c>
      <c r="C409" s="13" t="s">
        <v>1533</v>
      </c>
      <c r="D409" s="13" t="s">
        <v>1534</v>
      </c>
      <c r="E409" s="14" t="s">
        <v>151</v>
      </c>
      <c r="F409" s="24">
        <v>120000</v>
      </c>
      <c r="G409" s="24">
        <v>41220</v>
      </c>
    </row>
    <row r="410" ht="51" spans="1:7">
      <c r="A410" s="13" t="s">
        <v>1535</v>
      </c>
      <c r="B410" s="13" t="s">
        <v>1536</v>
      </c>
      <c r="C410" s="13" t="s">
        <v>1537</v>
      </c>
      <c r="D410" s="13" t="s">
        <v>1538</v>
      </c>
      <c r="E410" s="14" t="s">
        <v>25</v>
      </c>
      <c r="F410" s="24">
        <v>23030</v>
      </c>
      <c r="G410" s="24">
        <v>41220</v>
      </c>
    </row>
    <row r="411" spans="1:7">
      <c r="A411" s="13" t="s">
        <v>1539</v>
      </c>
      <c r="B411" s="13" t="s">
        <v>1540</v>
      </c>
      <c r="C411" s="13" t="s">
        <v>1541</v>
      </c>
      <c r="D411" s="13" t="s">
        <v>1542</v>
      </c>
      <c r="E411" s="14" t="s">
        <v>126</v>
      </c>
      <c r="F411" s="24">
        <v>1720</v>
      </c>
      <c r="G411" s="24">
        <v>4360</v>
      </c>
    </row>
    <row r="412" ht="25.5" spans="1:7">
      <c r="A412" s="13" t="s">
        <v>1543</v>
      </c>
      <c r="B412" s="13" t="s">
        <v>1544</v>
      </c>
      <c r="C412" s="13" t="s">
        <v>1545</v>
      </c>
      <c r="D412" s="13" t="s">
        <v>1546</v>
      </c>
      <c r="E412" s="14" t="s">
        <v>215</v>
      </c>
      <c r="F412" s="24">
        <v>1088000</v>
      </c>
      <c r="G412" s="24">
        <v>402500</v>
      </c>
    </row>
    <row r="413" spans="1:7">
      <c r="A413" s="13" t="s">
        <v>1547</v>
      </c>
      <c r="B413" s="13" t="s">
        <v>1548</v>
      </c>
      <c r="C413" s="13" t="s">
        <v>1549</v>
      </c>
      <c r="D413" s="13" t="s">
        <v>1550</v>
      </c>
      <c r="E413" s="14" t="s">
        <v>25</v>
      </c>
      <c r="F413" s="24">
        <v>5360</v>
      </c>
      <c r="G413" s="24">
        <v>700</v>
      </c>
    </row>
    <row r="414" ht="51" spans="1:7">
      <c r="A414" s="13" t="s">
        <v>1551</v>
      </c>
      <c r="B414" s="13" t="s">
        <v>1552</v>
      </c>
      <c r="C414" s="13" t="s">
        <v>1553</v>
      </c>
      <c r="D414" s="13" t="s">
        <v>1554</v>
      </c>
      <c r="E414" s="14" t="s">
        <v>648</v>
      </c>
      <c r="F414" s="24">
        <v>47600</v>
      </c>
      <c r="G414" s="24">
        <v>36980</v>
      </c>
    </row>
    <row r="415" ht="76.5" spans="1:7">
      <c r="A415" s="13" t="s">
        <v>1555</v>
      </c>
      <c r="B415" s="13"/>
      <c r="C415" s="13" t="s">
        <v>1556</v>
      </c>
      <c r="D415" s="13" t="s">
        <v>1557</v>
      </c>
      <c r="E415" s="14" t="s">
        <v>1558</v>
      </c>
      <c r="F415" s="24">
        <v>0</v>
      </c>
      <c r="G415" s="24">
        <v>156400</v>
      </c>
    </row>
    <row r="416" spans="1:7">
      <c r="A416" s="18"/>
      <c r="B416" s="18"/>
      <c r="C416" s="18"/>
      <c r="D416" s="19" t="s">
        <v>11</v>
      </c>
      <c r="E416" s="20"/>
      <c r="F416" s="20"/>
      <c r="G416" s="21"/>
    </row>
    <row r="417" spans="1:7">
      <c r="A417" s="18"/>
      <c r="B417" s="18"/>
      <c r="C417" s="18"/>
      <c r="D417" s="19" t="s">
        <v>12</v>
      </c>
      <c r="E417" s="20"/>
      <c r="F417" s="20"/>
      <c r="G417" s="21"/>
    </row>
    <row r="418" spans="1:7">
      <c r="A418" s="18"/>
      <c r="B418" s="18"/>
      <c r="C418" s="18"/>
      <c r="D418" s="19" t="s">
        <v>13</v>
      </c>
      <c r="E418" s="20"/>
      <c r="F418" s="20"/>
      <c r="G418" s="21"/>
    </row>
  </sheetData>
  <mergeCells count="10">
    <mergeCell ref="F2:G2"/>
    <mergeCell ref="F3:G3"/>
    <mergeCell ref="D416:G416"/>
    <mergeCell ref="D417:G417"/>
    <mergeCell ref="D418:G418"/>
    <mergeCell ref="A3:A4"/>
    <mergeCell ref="B3:B4"/>
    <mergeCell ref="C3:C4"/>
    <mergeCell ref="D3:D4"/>
    <mergeCell ref="E3:E4"/>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421"/>
  <sheetViews>
    <sheetView workbookViewId="0">
      <selection activeCell="H4" sqref="H$1:I$1048576"/>
    </sheetView>
  </sheetViews>
  <sheetFormatPr defaultColWidth="8.88571428571429" defaultRowHeight="15" outlineLevelCol="6"/>
  <cols>
    <col min="1" max="2" width="15.2666666666667" style="2" customWidth="1"/>
    <col min="3" max="3" width="10.5047619047619" style="2" customWidth="1"/>
    <col min="4" max="4" width="26.2666666666667" style="2" customWidth="1"/>
    <col min="5" max="5" width="8.17142857142857" style="2" customWidth="1"/>
    <col min="6" max="7" width="12.2666666666667" style="2" customWidth="1"/>
  </cols>
  <sheetData>
    <row r="1" s="1" customFormat="1" spans="1:7">
      <c r="A1" s="3"/>
      <c r="B1" s="3"/>
      <c r="C1" s="3"/>
      <c r="D1" s="3"/>
      <c r="E1" s="3"/>
      <c r="F1" s="4">
        <v>0.75</v>
      </c>
      <c r="G1" s="4"/>
    </row>
    <row r="2" s="1" customFormat="1" spans="1:7">
      <c r="A2" s="3"/>
      <c r="B2" s="3"/>
      <c r="C2" s="3"/>
      <c r="D2" s="3"/>
      <c r="E2" s="3"/>
      <c r="F2" s="5" t="s">
        <v>1559</v>
      </c>
      <c r="G2" s="5"/>
    </row>
    <row r="3" spans="1:7">
      <c r="A3" s="6" t="s">
        <v>15</v>
      </c>
      <c r="B3" s="6" t="s">
        <v>16</v>
      </c>
      <c r="C3" s="6" t="s">
        <v>17</v>
      </c>
      <c r="D3" s="6" t="s">
        <v>18</v>
      </c>
      <c r="E3" s="7" t="s">
        <v>19</v>
      </c>
      <c r="F3" s="8" t="s">
        <v>1560</v>
      </c>
      <c r="G3" s="8"/>
    </row>
    <row r="4" ht="15.75" spans="1:7">
      <c r="A4" s="9"/>
      <c r="B4" s="9"/>
      <c r="C4" s="9"/>
      <c r="D4" s="9"/>
      <c r="E4" s="9"/>
      <c r="F4" s="10" t="s">
        <v>11</v>
      </c>
      <c r="G4" s="10" t="s">
        <v>12</v>
      </c>
    </row>
    <row r="5" ht="15.75" spans="1:7">
      <c r="A5" s="11"/>
      <c r="B5" s="11"/>
      <c r="C5" s="11"/>
      <c r="D5" s="11"/>
      <c r="E5" s="11"/>
      <c r="F5" s="12"/>
      <c r="G5" s="12"/>
    </row>
    <row r="6" ht="38.25" spans="1:7">
      <c r="A6" s="13" t="s">
        <v>21</v>
      </c>
      <c r="B6" s="13" t="s">
        <v>22</v>
      </c>
      <c r="C6" s="13" t="s">
        <v>23</v>
      </c>
      <c r="D6" s="13" t="s">
        <v>24</v>
      </c>
      <c r="E6" s="14" t="s">
        <v>25</v>
      </c>
      <c r="F6" s="15">
        <v>4110</v>
      </c>
      <c r="G6" s="15">
        <v>1665</v>
      </c>
    </row>
    <row r="7" ht="38.25" spans="1:7">
      <c r="A7" s="13" t="s">
        <v>26</v>
      </c>
      <c r="B7" s="13" t="s">
        <v>27</v>
      </c>
      <c r="C7" s="13" t="s">
        <v>28</v>
      </c>
      <c r="D7" s="13" t="s">
        <v>29</v>
      </c>
      <c r="E7" s="14" t="s">
        <v>25</v>
      </c>
      <c r="F7" s="15">
        <v>27000</v>
      </c>
      <c r="G7" s="15">
        <v>2670</v>
      </c>
    </row>
    <row r="8" ht="38.25" spans="1:7">
      <c r="A8" s="13" t="s">
        <v>30</v>
      </c>
      <c r="B8" s="13" t="s">
        <v>31</v>
      </c>
      <c r="C8" s="13" t="s">
        <v>32</v>
      </c>
      <c r="D8" s="13" t="s">
        <v>33</v>
      </c>
      <c r="E8" s="14" t="s">
        <v>25</v>
      </c>
      <c r="F8" s="15">
        <v>5865</v>
      </c>
      <c r="G8" s="15">
        <v>2362.5</v>
      </c>
    </row>
    <row r="9" ht="38.25" spans="1:7">
      <c r="A9" s="13" t="s">
        <v>34</v>
      </c>
      <c r="B9" s="13" t="s">
        <v>35</v>
      </c>
      <c r="C9" s="13" t="s">
        <v>36</v>
      </c>
      <c r="D9" s="13" t="s">
        <v>37</v>
      </c>
      <c r="E9" s="14" t="s">
        <v>25</v>
      </c>
      <c r="F9" s="15">
        <v>51487.5</v>
      </c>
      <c r="G9" s="15">
        <v>3337.5</v>
      </c>
    </row>
    <row r="10" ht="38.25" spans="1:7">
      <c r="A10" s="13" t="s">
        <v>38</v>
      </c>
      <c r="B10" s="13" t="s">
        <v>39</v>
      </c>
      <c r="C10" s="13" t="s">
        <v>40</v>
      </c>
      <c r="D10" s="13" t="s">
        <v>41</v>
      </c>
      <c r="E10" s="14" t="s">
        <v>25</v>
      </c>
      <c r="F10" s="15">
        <v>1140</v>
      </c>
      <c r="G10" s="15">
        <v>1665</v>
      </c>
    </row>
    <row r="11" ht="38.25" spans="1:7">
      <c r="A11" s="13" t="s">
        <v>42</v>
      </c>
      <c r="B11" s="13" t="s">
        <v>43</v>
      </c>
      <c r="C11" s="13" t="s">
        <v>44</v>
      </c>
      <c r="D11" s="13" t="s">
        <v>45</v>
      </c>
      <c r="E11" s="14" t="s">
        <v>25</v>
      </c>
      <c r="F11" s="15">
        <v>9262.5</v>
      </c>
      <c r="G11" s="15">
        <v>2362.5</v>
      </c>
    </row>
    <row r="12" ht="38.25" spans="1:7">
      <c r="A12" s="13" t="s">
        <v>46</v>
      </c>
      <c r="B12" s="13" t="s">
        <v>47</v>
      </c>
      <c r="C12" s="13" t="s">
        <v>48</v>
      </c>
      <c r="D12" s="13" t="s">
        <v>49</v>
      </c>
      <c r="E12" s="14" t="s">
        <v>25</v>
      </c>
      <c r="F12" s="15">
        <v>1590</v>
      </c>
      <c r="G12" s="15">
        <v>1665</v>
      </c>
    </row>
    <row r="13" ht="38.25" spans="1:7">
      <c r="A13" s="13" t="s">
        <v>50</v>
      </c>
      <c r="B13" s="13" t="s">
        <v>51</v>
      </c>
      <c r="C13" s="13" t="s">
        <v>52</v>
      </c>
      <c r="D13" s="13" t="s">
        <v>53</v>
      </c>
      <c r="E13" s="14" t="s">
        <v>25</v>
      </c>
      <c r="F13" s="15">
        <v>14872.5</v>
      </c>
      <c r="G13" s="15">
        <v>2362.5</v>
      </c>
    </row>
    <row r="14" ht="38.25" spans="1:7">
      <c r="A14" s="13" t="s">
        <v>54</v>
      </c>
      <c r="B14" s="13" t="s">
        <v>55</v>
      </c>
      <c r="C14" s="13" t="s">
        <v>56</v>
      </c>
      <c r="D14" s="13" t="s">
        <v>57</v>
      </c>
      <c r="E14" s="14" t="s">
        <v>25</v>
      </c>
      <c r="F14" s="15">
        <v>2970</v>
      </c>
      <c r="G14" s="15">
        <v>1665</v>
      </c>
    </row>
    <row r="15" ht="38.25" spans="1:7">
      <c r="A15" s="13" t="s">
        <v>58</v>
      </c>
      <c r="B15" s="13" t="s">
        <v>59</v>
      </c>
      <c r="C15" s="13" t="s">
        <v>60</v>
      </c>
      <c r="D15" s="13" t="s">
        <v>61</v>
      </c>
      <c r="E15" s="14" t="s">
        <v>25</v>
      </c>
      <c r="F15" s="15">
        <v>17505</v>
      </c>
      <c r="G15" s="15">
        <v>2332.5</v>
      </c>
    </row>
    <row r="16" ht="51" spans="1:7">
      <c r="A16" s="13" t="s">
        <v>62</v>
      </c>
      <c r="B16" s="13" t="s">
        <v>63</v>
      </c>
      <c r="C16" s="13" t="s">
        <v>64</v>
      </c>
      <c r="D16" s="13" t="s">
        <v>65</v>
      </c>
      <c r="E16" s="14" t="s">
        <v>25</v>
      </c>
      <c r="F16" s="15">
        <v>795</v>
      </c>
      <c r="G16" s="15">
        <v>1072.5</v>
      </c>
    </row>
    <row r="17" ht="51" spans="1:7">
      <c r="A17" s="13" t="s">
        <v>66</v>
      </c>
      <c r="B17" s="13" t="s">
        <v>67</v>
      </c>
      <c r="C17" s="13" t="s">
        <v>68</v>
      </c>
      <c r="D17" s="13" t="s">
        <v>69</v>
      </c>
      <c r="E17" s="14" t="s">
        <v>25</v>
      </c>
      <c r="F17" s="15">
        <v>4065</v>
      </c>
      <c r="G17" s="15">
        <v>2932.5</v>
      </c>
    </row>
    <row r="18" ht="38.25" spans="1:7">
      <c r="A18" s="13" t="s">
        <v>70</v>
      </c>
      <c r="B18" s="13" t="s">
        <v>71</v>
      </c>
      <c r="C18" s="13" t="s">
        <v>72</v>
      </c>
      <c r="D18" s="13" t="s">
        <v>73</v>
      </c>
      <c r="E18" s="14" t="s">
        <v>25</v>
      </c>
      <c r="F18" s="15">
        <v>9945</v>
      </c>
      <c r="G18" s="15">
        <v>3322.5</v>
      </c>
    </row>
    <row r="19" ht="38.25" spans="1:7">
      <c r="A19" s="13" t="s">
        <v>74</v>
      </c>
      <c r="B19" s="13" t="s">
        <v>75</v>
      </c>
      <c r="C19" s="13" t="s">
        <v>76</v>
      </c>
      <c r="D19" s="13" t="s">
        <v>77</v>
      </c>
      <c r="E19" s="14" t="s">
        <v>25</v>
      </c>
      <c r="F19" s="15">
        <v>8167.5</v>
      </c>
      <c r="G19" s="15">
        <v>3345</v>
      </c>
    </row>
    <row r="20" ht="51" spans="1:7">
      <c r="A20" s="13" t="s">
        <v>78</v>
      </c>
      <c r="B20" s="13" t="s">
        <v>79</v>
      </c>
      <c r="C20" s="13" t="s">
        <v>80</v>
      </c>
      <c r="D20" s="13" t="s">
        <v>81</v>
      </c>
      <c r="E20" s="14" t="s">
        <v>25</v>
      </c>
      <c r="F20" s="15">
        <v>4627.5</v>
      </c>
      <c r="G20" s="15">
        <v>2932.5</v>
      </c>
    </row>
    <row r="21" ht="38.25" spans="1:7">
      <c r="A21" s="13" t="s">
        <v>82</v>
      </c>
      <c r="B21" s="13" t="s">
        <v>83</v>
      </c>
      <c r="C21" s="13" t="s">
        <v>84</v>
      </c>
      <c r="D21" s="13" t="s">
        <v>85</v>
      </c>
      <c r="E21" s="14" t="s">
        <v>25</v>
      </c>
      <c r="F21" s="15">
        <v>13387.5</v>
      </c>
      <c r="G21" s="15">
        <v>3322.5</v>
      </c>
    </row>
    <row r="22" ht="38.25" spans="1:7">
      <c r="A22" s="13" t="s">
        <v>86</v>
      </c>
      <c r="B22" s="13" t="s">
        <v>87</v>
      </c>
      <c r="C22" s="13" t="s">
        <v>88</v>
      </c>
      <c r="D22" s="13" t="s">
        <v>89</v>
      </c>
      <c r="E22" s="14" t="s">
        <v>25</v>
      </c>
      <c r="F22" s="15">
        <v>10035</v>
      </c>
      <c r="G22" s="15">
        <v>3322.5</v>
      </c>
    </row>
    <row r="23" ht="38.25" spans="1:7">
      <c r="A23" s="13" t="s">
        <v>90</v>
      </c>
      <c r="B23" s="13" t="s">
        <v>91</v>
      </c>
      <c r="C23" s="13" t="s">
        <v>92</v>
      </c>
      <c r="D23" s="13" t="s">
        <v>93</v>
      </c>
      <c r="E23" s="14" t="s">
        <v>25</v>
      </c>
      <c r="F23" s="15">
        <v>20745</v>
      </c>
      <c r="G23" s="15">
        <v>3322.5</v>
      </c>
    </row>
    <row r="24" ht="38.25" spans="1:7">
      <c r="A24" s="13" t="s">
        <v>94</v>
      </c>
      <c r="B24" s="13" t="s">
        <v>95</v>
      </c>
      <c r="C24" s="13" t="s">
        <v>96</v>
      </c>
      <c r="D24" s="13" t="s">
        <v>97</v>
      </c>
      <c r="E24" s="14" t="s">
        <v>25</v>
      </c>
      <c r="F24" s="15">
        <v>14032.5</v>
      </c>
      <c r="G24" s="15">
        <v>3322.5</v>
      </c>
    </row>
    <row r="25" ht="38.25" spans="1:7">
      <c r="A25" s="13" t="s">
        <v>98</v>
      </c>
      <c r="B25" s="13" t="s">
        <v>99</v>
      </c>
      <c r="C25" s="13" t="s">
        <v>100</v>
      </c>
      <c r="D25" s="13" t="s">
        <v>101</v>
      </c>
      <c r="E25" s="14" t="s">
        <v>25</v>
      </c>
      <c r="F25" s="15">
        <v>34417.5</v>
      </c>
      <c r="G25" s="15">
        <v>3322.5</v>
      </c>
    </row>
    <row r="26" ht="38.25" spans="1:7">
      <c r="A26" s="13" t="s">
        <v>102</v>
      </c>
      <c r="B26" s="13" t="s">
        <v>103</v>
      </c>
      <c r="C26" s="13" t="s">
        <v>104</v>
      </c>
      <c r="D26" s="13" t="s">
        <v>105</v>
      </c>
      <c r="E26" s="14" t="s">
        <v>25</v>
      </c>
      <c r="F26" s="15">
        <v>20032.5</v>
      </c>
      <c r="G26" s="15">
        <v>3322.5</v>
      </c>
    </row>
    <row r="27" ht="63.75" spans="1:7">
      <c r="A27" s="13" t="s">
        <v>106</v>
      </c>
      <c r="B27" s="13" t="s">
        <v>107</v>
      </c>
      <c r="C27" s="13" t="s">
        <v>108</v>
      </c>
      <c r="D27" s="13" t="s">
        <v>109</v>
      </c>
      <c r="E27" s="14" t="s">
        <v>25</v>
      </c>
      <c r="F27" s="15">
        <v>3712.5</v>
      </c>
      <c r="G27" s="15">
        <v>2835</v>
      </c>
    </row>
    <row r="28" ht="63.75" spans="1:7">
      <c r="A28" s="13" t="s">
        <v>110</v>
      </c>
      <c r="B28" s="13" t="s">
        <v>111</v>
      </c>
      <c r="C28" s="13" t="s">
        <v>112</v>
      </c>
      <c r="D28" s="13" t="s">
        <v>113</v>
      </c>
      <c r="E28" s="14" t="s">
        <v>25</v>
      </c>
      <c r="F28" s="15">
        <v>4447.5</v>
      </c>
      <c r="G28" s="15">
        <v>2872.5</v>
      </c>
    </row>
    <row r="29" ht="63.75" spans="1:7">
      <c r="A29" s="13" t="s">
        <v>114</v>
      </c>
      <c r="B29" s="13" t="s">
        <v>115</v>
      </c>
      <c r="C29" s="13" t="s">
        <v>116</v>
      </c>
      <c r="D29" s="13" t="s">
        <v>117</v>
      </c>
      <c r="E29" s="14" t="s">
        <v>25</v>
      </c>
      <c r="F29" s="15">
        <v>6750</v>
      </c>
      <c r="G29" s="15">
        <v>2887.5</v>
      </c>
    </row>
    <row r="30" ht="63.75" spans="1:7">
      <c r="A30" s="13" t="s">
        <v>118</v>
      </c>
      <c r="B30" s="13" t="s">
        <v>119</v>
      </c>
      <c r="C30" s="13" t="s">
        <v>120</v>
      </c>
      <c r="D30" s="13" t="s">
        <v>121</v>
      </c>
      <c r="E30" s="14" t="s">
        <v>25</v>
      </c>
      <c r="F30" s="15">
        <v>11542.5</v>
      </c>
      <c r="G30" s="15">
        <v>3322.5</v>
      </c>
    </row>
    <row r="31" ht="25.5" spans="1:7">
      <c r="A31" s="13" t="s">
        <v>122</v>
      </c>
      <c r="B31" s="13" t="s">
        <v>123</v>
      </c>
      <c r="C31" s="13" t="s">
        <v>124</v>
      </c>
      <c r="D31" s="13" t="s">
        <v>125</v>
      </c>
      <c r="E31" s="14" t="s">
        <v>126</v>
      </c>
      <c r="F31" s="15">
        <v>207300</v>
      </c>
      <c r="G31" s="15">
        <v>94575</v>
      </c>
    </row>
    <row r="32" ht="25.5" spans="1:7">
      <c r="A32" s="13" t="s">
        <v>127</v>
      </c>
      <c r="B32" s="13" t="s">
        <v>128</v>
      </c>
      <c r="C32" s="13" t="s">
        <v>129</v>
      </c>
      <c r="D32" s="13" t="s">
        <v>130</v>
      </c>
      <c r="E32" s="14" t="s">
        <v>126</v>
      </c>
      <c r="F32" s="15">
        <v>373275</v>
      </c>
      <c r="G32" s="15">
        <v>75000</v>
      </c>
    </row>
    <row r="33" ht="25.5" spans="1:7">
      <c r="A33" s="13" t="s">
        <v>131</v>
      </c>
      <c r="B33" s="13" t="s">
        <v>132</v>
      </c>
      <c r="C33" s="13" t="s">
        <v>133</v>
      </c>
      <c r="D33" s="13" t="s">
        <v>134</v>
      </c>
      <c r="E33" s="14" t="s">
        <v>135</v>
      </c>
      <c r="F33" s="15">
        <v>3300</v>
      </c>
      <c r="G33" s="15">
        <v>900</v>
      </c>
    </row>
    <row r="34" ht="38.25" spans="1:7">
      <c r="A34" s="13" t="s">
        <v>136</v>
      </c>
      <c r="B34" s="13" t="s">
        <v>137</v>
      </c>
      <c r="C34" s="13" t="s">
        <v>138</v>
      </c>
      <c r="D34" s="13" t="s">
        <v>139</v>
      </c>
      <c r="E34" s="14" t="s">
        <v>126</v>
      </c>
      <c r="F34" s="15">
        <v>20572.5</v>
      </c>
      <c r="G34" s="15">
        <v>10995</v>
      </c>
    </row>
    <row r="35" ht="89.25" spans="1:7">
      <c r="A35" s="16" t="s">
        <v>140</v>
      </c>
      <c r="B35" s="13" t="s">
        <v>141</v>
      </c>
      <c r="C35" s="13" t="s">
        <v>142</v>
      </c>
      <c r="D35" s="16" t="s">
        <v>143</v>
      </c>
      <c r="E35" s="17" t="s">
        <v>126</v>
      </c>
      <c r="F35" s="15">
        <v>131250</v>
      </c>
      <c r="G35" s="15">
        <v>509250</v>
      </c>
    </row>
    <row r="36" ht="127.5" spans="1:7">
      <c r="A36" s="13" t="s">
        <v>144</v>
      </c>
      <c r="B36" s="13"/>
      <c r="C36" s="13" t="s">
        <v>145</v>
      </c>
      <c r="D36" s="13" t="s">
        <v>146</v>
      </c>
      <c r="E36" s="14" t="s">
        <v>25</v>
      </c>
      <c r="F36" s="15">
        <v>0</v>
      </c>
      <c r="G36" s="15">
        <v>134250</v>
      </c>
    </row>
    <row r="37" ht="114.75" spans="1:7">
      <c r="A37" s="13" t="s">
        <v>147</v>
      </c>
      <c r="B37" s="13" t="s">
        <v>148</v>
      </c>
      <c r="C37" s="13" t="s">
        <v>149</v>
      </c>
      <c r="D37" s="13" t="s">
        <v>150</v>
      </c>
      <c r="E37" s="14" t="s">
        <v>151</v>
      </c>
      <c r="F37" s="15">
        <v>68947.5</v>
      </c>
      <c r="G37" s="15">
        <v>74310</v>
      </c>
    </row>
    <row r="38" ht="76.5" spans="1:7">
      <c r="A38" s="13" t="s">
        <v>152</v>
      </c>
      <c r="B38" s="13"/>
      <c r="C38" s="13" t="s">
        <v>153</v>
      </c>
      <c r="D38" s="13" t="s">
        <v>154</v>
      </c>
      <c r="E38" s="14" t="s">
        <v>25</v>
      </c>
      <c r="F38" s="15">
        <v>0</v>
      </c>
      <c r="G38" s="15">
        <v>13822.5</v>
      </c>
    </row>
    <row r="39" ht="76.5" spans="1:7">
      <c r="A39" s="16" t="s">
        <v>155</v>
      </c>
      <c r="B39" s="13"/>
      <c r="C39" s="13" t="s">
        <v>156</v>
      </c>
      <c r="D39" s="16" t="s">
        <v>157</v>
      </c>
      <c r="E39" s="17" t="s">
        <v>25</v>
      </c>
      <c r="F39" s="15">
        <v>0</v>
      </c>
      <c r="G39" s="15">
        <v>16402.5</v>
      </c>
    </row>
    <row r="40" ht="76.5" spans="1:7">
      <c r="A40" s="13" t="s">
        <v>158</v>
      </c>
      <c r="B40" s="13"/>
      <c r="C40" s="13" t="s">
        <v>159</v>
      </c>
      <c r="D40" s="13" t="s">
        <v>160</v>
      </c>
      <c r="E40" s="14" t="s">
        <v>25</v>
      </c>
      <c r="F40" s="15">
        <v>0</v>
      </c>
      <c r="G40" s="15">
        <v>22485</v>
      </c>
    </row>
    <row r="41" ht="76.5" spans="1:7">
      <c r="A41" s="13" t="s">
        <v>161</v>
      </c>
      <c r="B41" s="13"/>
      <c r="C41" s="13" t="s">
        <v>162</v>
      </c>
      <c r="D41" s="13" t="s">
        <v>163</v>
      </c>
      <c r="E41" s="14" t="s">
        <v>25</v>
      </c>
      <c r="F41" s="15">
        <v>0</v>
      </c>
      <c r="G41" s="15">
        <v>25687.5</v>
      </c>
    </row>
    <row r="42" ht="76.5" spans="1:7">
      <c r="A42" s="13" t="s">
        <v>164</v>
      </c>
      <c r="B42" s="13"/>
      <c r="C42" s="13" t="s">
        <v>165</v>
      </c>
      <c r="D42" s="13" t="s">
        <v>166</v>
      </c>
      <c r="E42" s="14" t="s">
        <v>25</v>
      </c>
      <c r="F42" s="15">
        <v>0</v>
      </c>
      <c r="G42" s="15">
        <v>27052.5</v>
      </c>
    </row>
    <row r="43" ht="76.5" spans="1:7">
      <c r="A43" s="13" t="s">
        <v>167</v>
      </c>
      <c r="B43" s="13"/>
      <c r="C43" s="13" t="s">
        <v>168</v>
      </c>
      <c r="D43" s="13" t="s">
        <v>169</v>
      </c>
      <c r="E43" s="14" t="s">
        <v>25</v>
      </c>
      <c r="F43" s="15">
        <v>0</v>
      </c>
      <c r="G43" s="15">
        <v>28672.5</v>
      </c>
    </row>
    <row r="44" ht="76.5" spans="1:7">
      <c r="A44" s="13" t="s">
        <v>170</v>
      </c>
      <c r="B44" s="13"/>
      <c r="C44" s="13" t="s">
        <v>171</v>
      </c>
      <c r="D44" s="13" t="s">
        <v>172</v>
      </c>
      <c r="E44" s="14" t="s">
        <v>25</v>
      </c>
      <c r="F44" s="15">
        <v>0</v>
      </c>
      <c r="G44" s="15">
        <v>30187.5</v>
      </c>
    </row>
    <row r="45" ht="114.75" spans="1:7">
      <c r="A45" s="13" t="s">
        <v>173</v>
      </c>
      <c r="B45" s="13"/>
      <c r="C45" s="13" t="s">
        <v>174</v>
      </c>
      <c r="D45" s="13" t="s">
        <v>175</v>
      </c>
      <c r="E45" s="14" t="s">
        <v>25</v>
      </c>
      <c r="F45" s="15">
        <v>0</v>
      </c>
      <c r="G45" s="15">
        <v>130200</v>
      </c>
    </row>
    <row r="46" ht="102" spans="1:7">
      <c r="A46" s="13" t="s">
        <v>176</v>
      </c>
      <c r="B46" s="13" t="s">
        <v>177</v>
      </c>
      <c r="C46" s="13" t="s">
        <v>178</v>
      </c>
      <c r="D46" s="13" t="s">
        <v>179</v>
      </c>
      <c r="E46" s="14" t="s">
        <v>25</v>
      </c>
      <c r="F46" s="15">
        <v>97875</v>
      </c>
      <c r="G46" s="15">
        <v>76350</v>
      </c>
    </row>
    <row r="47" ht="63.75" spans="1:7">
      <c r="A47" s="13" t="s">
        <v>180</v>
      </c>
      <c r="B47" s="13"/>
      <c r="C47" s="13" t="s">
        <v>181</v>
      </c>
      <c r="D47" s="13" t="s">
        <v>182</v>
      </c>
      <c r="E47" s="14" t="s">
        <v>25</v>
      </c>
      <c r="F47" s="15">
        <v>0</v>
      </c>
      <c r="G47" s="15">
        <v>91500</v>
      </c>
    </row>
    <row r="48" ht="63.75" spans="1:7">
      <c r="A48" s="13" t="s">
        <v>183</v>
      </c>
      <c r="B48" s="13"/>
      <c r="C48" s="13" t="s">
        <v>184</v>
      </c>
      <c r="D48" s="13" t="s">
        <v>185</v>
      </c>
      <c r="E48" s="14" t="s">
        <v>25</v>
      </c>
      <c r="F48" s="15">
        <v>0</v>
      </c>
      <c r="G48" s="15">
        <v>101925</v>
      </c>
    </row>
    <row r="49" ht="63.75" spans="1:7">
      <c r="A49" s="13" t="s">
        <v>186</v>
      </c>
      <c r="B49" s="13"/>
      <c r="C49" s="13" t="s">
        <v>187</v>
      </c>
      <c r="D49" s="13" t="s">
        <v>188</v>
      </c>
      <c r="E49" s="14" t="s">
        <v>25</v>
      </c>
      <c r="F49" s="15">
        <v>0</v>
      </c>
      <c r="G49" s="15">
        <v>106425</v>
      </c>
    </row>
    <row r="50" ht="63.75" spans="1:7">
      <c r="A50" s="13" t="s">
        <v>189</v>
      </c>
      <c r="B50" s="13"/>
      <c r="C50" s="13" t="s">
        <v>190</v>
      </c>
      <c r="D50" s="13" t="s">
        <v>191</v>
      </c>
      <c r="E50" s="14" t="s">
        <v>25</v>
      </c>
      <c r="F50" s="15">
        <v>0</v>
      </c>
      <c r="G50" s="15">
        <v>109425</v>
      </c>
    </row>
    <row r="51" ht="63.75" spans="1:7">
      <c r="A51" s="13" t="s">
        <v>192</v>
      </c>
      <c r="B51" s="13"/>
      <c r="C51" s="13" t="s">
        <v>193</v>
      </c>
      <c r="D51" s="13" t="s">
        <v>194</v>
      </c>
      <c r="E51" s="14" t="s">
        <v>25</v>
      </c>
      <c r="F51" s="15">
        <v>0</v>
      </c>
      <c r="G51" s="15">
        <v>114600</v>
      </c>
    </row>
    <row r="52" ht="51" spans="1:7">
      <c r="A52" s="13" t="s">
        <v>195</v>
      </c>
      <c r="B52" s="13"/>
      <c r="C52" s="13" t="s">
        <v>196</v>
      </c>
      <c r="D52" s="13" t="s">
        <v>197</v>
      </c>
      <c r="E52" s="14" t="s">
        <v>25</v>
      </c>
      <c r="F52" s="15">
        <v>0</v>
      </c>
      <c r="G52" s="15">
        <v>152775</v>
      </c>
    </row>
    <row r="53" ht="51" spans="1:7">
      <c r="A53" s="13" t="s">
        <v>198</v>
      </c>
      <c r="B53" s="13" t="s">
        <v>199</v>
      </c>
      <c r="C53" s="13" t="s">
        <v>200</v>
      </c>
      <c r="D53" s="13" t="s">
        <v>201</v>
      </c>
      <c r="E53" s="14" t="s">
        <v>202</v>
      </c>
      <c r="F53" s="15">
        <v>30810</v>
      </c>
      <c r="G53" s="15">
        <v>55927.5</v>
      </c>
    </row>
    <row r="54" spans="1:7">
      <c r="A54" s="13" t="s">
        <v>203</v>
      </c>
      <c r="B54" s="13"/>
      <c r="C54" s="13" t="s">
        <v>204</v>
      </c>
      <c r="D54" s="13" t="s">
        <v>205</v>
      </c>
      <c r="E54" s="14" t="s">
        <v>151</v>
      </c>
      <c r="F54" s="15">
        <v>0</v>
      </c>
      <c r="G54" s="15">
        <v>202.5</v>
      </c>
    </row>
    <row r="55" ht="38.25" spans="1:7">
      <c r="A55" s="13" t="s">
        <v>206</v>
      </c>
      <c r="B55" s="13"/>
      <c r="C55" s="13" t="s">
        <v>207</v>
      </c>
      <c r="D55" s="13" t="s">
        <v>208</v>
      </c>
      <c r="E55" s="14" t="s">
        <v>25</v>
      </c>
      <c r="F55" s="15">
        <v>0</v>
      </c>
      <c r="G55" s="15">
        <v>532.5</v>
      </c>
    </row>
    <row r="56" ht="38.25" spans="1:7">
      <c r="A56" s="13" t="s">
        <v>209</v>
      </c>
      <c r="B56" s="13"/>
      <c r="C56" s="13" t="s">
        <v>210</v>
      </c>
      <c r="D56" s="13" t="s">
        <v>211</v>
      </c>
      <c r="E56" s="14" t="s">
        <v>25</v>
      </c>
      <c r="F56" s="15">
        <v>0</v>
      </c>
      <c r="G56" s="15">
        <v>472.5</v>
      </c>
    </row>
    <row r="57" ht="25.5" spans="1:7">
      <c r="A57" s="13" t="s">
        <v>212</v>
      </c>
      <c r="B57" s="13"/>
      <c r="C57" s="13" t="s">
        <v>213</v>
      </c>
      <c r="D57" s="13" t="s">
        <v>214</v>
      </c>
      <c r="E57" s="14" t="s">
        <v>215</v>
      </c>
      <c r="F57" s="15">
        <v>0</v>
      </c>
      <c r="G57" s="15">
        <v>102150</v>
      </c>
    </row>
    <row r="58" ht="102" spans="1:7">
      <c r="A58" s="13" t="s">
        <v>216</v>
      </c>
      <c r="B58" s="13" t="s">
        <v>217</v>
      </c>
      <c r="C58" s="13" t="s">
        <v>218</v>
      </c>
      <c r="D58" s="13" t="s">
        <v>219</v>
      </c>
      <c r="E58" s="14" t="s">
        <v>220</v>
      </c>
      <c r="F58" s="15">
        <v>100500</v>
      </c>
      <c r="G58" s="15">
        <v>52380</v>
      </c>
    </row>
    <row r="59" ht="38.25" spans="1:7">
      <c r="A59" s="13" t="s">
        <v>221</v>
      </c>
      <c r="B59" s="13" t="s">
        <v>222</v>
      </c>
      <c r="C59" s="13" t="s">
        <v>223</v>
      </c>
      <c r="D59" s="13" t="s">
        <v>224</v>
      </c>
      <c r="E59" s="14" t="s">
        <v>225</v>
      </c>
      <c r="F59" s="15">
        <v>11347.5</v>
      </c>
      <c r="G59" s="15">
        <v>8347.5</v>
      </c>
    </row>
    <row r="60" ht="25.5" spans="1:7">
      <c r="A60" s="13" t="s">
        <v>226</v>
      </c>
      <c r="B60" s="13" t="s">
        <v>227</v>
      </c>
      <c r="C60" s="13" t="s">
        <v>228</v>
      </c>
      <c r="D60" s="13" t="s">
        <v>229</v>
      </c>
      <c r="E60" s="14" t="s">
        <v>126</v>
      </c>
      <c r="F60" s="15">
        <v>735</v>
      </c>
      <c r="G60" s="15">
        <v>727.5</v>
      </c>
    </row>
    <row r="61" ht="63.75" spans="1:7">
      <c r="A61" s="13" t="s">
        <v>230</v>
      </c>
      <c r="B61" s="13" t="s">
        <v>231</v>
      </c>
      <c r="C61" s="13" t="s">
        <v>232</v>
      </c>
      <c r="D61" s="13" t="s">
        <v>233</v>
      </c>
      <c r="E61" s="14" t="s">
        <v>126</v>
      </c>
      <c r="F61" s="15">
        <v>58500</v>
      </c>
      <c r="G61" s="15">
        <v>69930</v>
      </c>
    </row>
    <row r="62" ht="63.75" spans="1:7">
      <c r="A62" s="13" t="s">
        <v>234</v>
      </c>
      <c r="B62" s="13" t="s">
        <v>235</v>
      </c>
      <c r="C62" s="13" t="s">
        <v>236</v>
      </c>
      <c r="D62" s="13" t="s">
        <v>237</v>
      </c>
      <c r="E62" s="14" t="s">
        <v>126</v>
      </c>
      <c r="F62" s="15">
        <v>5332.5</v>
      </c>
      <c r="G62" s="15">
        <v>8347.5</v>
      </c>
    </row>
    <row r="63" ht="25.5" spans="1:7">
      <c r="A63" s="13" t="s">
        <v>238</v>
      </c>
      <c r="B63" s="13" t="s">
        <v>239</v>
      </c>
      <c r="C63" s="13" t="s">
        <v>240</v>
      </c>
      <c r="D63" s="13" t="s">
        <v>241</v>
      </c>
      <c r="E63" s="14" t="s">
        <v>215</v>
      </c>
      <c r="F63" s="15">
        <v>1951500</v>
      </c>
      <c r="G63" s="15">
        <v>436500</v>
      </c>
    </row>
    <row r="64" ht="25.5" spans="1:7">
      <c r="A64" s="13" t="s">
        <v>242</v>
      </c>
      <c r="B64" s="13"/>
      <c r="C64" s="13" t="s">
        <v>243</v>
      </c>
      <c r="D64" s="13" t="s">
        <v>244</v>
      </c>
      <c r="E64" s="14" t="s">
        <v>245</v>
      </c>
      <c r="F64" s="15">
        <v>0</v>
      </c>
      <c r="G64" s="15">
        <v>25387.5</v>
      </c>
    </row>
    <row r="65" ht="38.25" spans="1:7">
      <c r="A65" s="13" t="s">
        <v>246</v>
      </c>
      <c r="B65" s="13"/>
      <c r="C65" s="13" t="s">
        <v>247</v>
      </c>
      <c r="D65" s="13" t="s">
        <v>248</v>
      </c>
      <c r="E65" s="14" t="s">
        <v>249</v>
      </c>
      <c r="F65" s="15">
        <v>0</v>
      </c>
      <c r="G65" s="15">
        <v>582000</v>
      </c>
    </row>
    <row r="66" ht="38.25" spans="1:7">
      <c r="A66" s="13" t="s">
        <v>250</v>
      </c>
      <c r="B66" s="13" t="s">
        <v>251</v>
      </c>
      <c r="C66" s="13" t="s">
        <v>252</v>
      </c>
      <c r="D66" s="13" t="s">
        <v>253</v>
      </c>
      <c r="E66" s="14" t="s">
        <v>151</v>
      </c>
      <c r="F66" s="15">
        <v>36015</v>
      </c>
      <c r="G66" s="15">
        <v>2400</v>
      </c>
    </row>
    <row r="67" ht="51" spans="1:7">
      <c r="A67" s="13" t="s">
        <v>254</v>
      </c>
      <c r="B67" s="13" t="s">
        <v>255</v>
      </c>
      <c r="C67" s="13" t="s">
        <v>256</v>
      </c>
      <c r="D67" s="13" t="s">
        <v>257</v>
      </c>
      <c r="E67" s="14" t="s">
        <v>25</v>
      </c>
      <c r="F67" s="15">
        <v>7642.5</v>
      </c>
      <c r="G67" s="15">
        <v>2400</v>
      </c>
    </row>
    <row r="68" ht="38.25" spans="1:7">
      <c r="A68" s="13" t="s">
        <v>258</v>
      </c>
      <c r="B68" s="13" t="s">
        <v>259</v>
      </c>
      <c r="C68" s="13" t="s">
        <v>260</v>
      </c>
      <c r="D68" s="13" t="s">
        <v>261</v>
      </c>
      <c r="E68" s="14" t="s">
        <v>25</v>
      </c>
      <c r="F68" s="15">
        <v>7245</v>
      </c>
      <c r="G68" s="15">
        <v>2400</v>
      </c>
    </row>
    <row r="69" ht="38.25" spans="1:7">
      <c r="A69" s="13" t="s">
        <v>262</v>
      </c>
      <c r="B69" s="13" t="s">
        <v>263</v>
      </c>
      <c r="C69" s="13" t="s">
        <v>264</v>
      </c>
      <c r="D69" s="13" t="s">
        <v>265</v>
      </c>
      <c r="E69" s="14" t="s">
        <v>25</v>
      </c>
      <c r="F69" s="15">
        <v>4320</v>
      </c>
      <c r="G69" s="15">
        <v>2272.5</v>
      </c>
    </row>
    <row r="70" ht="38.25" spans="1:7">
      <c r="A70" s="13" t="s">
        <v>266</v>
      </c>
      <c r="B70" s="13" t="s">
        <v>267</v>
      </c>
      <c r="C70" s="13" t="s">
        <v>268</v>
      </c>
      <c r="D70" s="13" t="s">
        <v>269</v>
      </c>
      <c r="E70" s="14" t="s">
        <v>25</v>
      </c>
      <c r="F70" s="15">
        <v>24300</v>
      </c>
      <c r="G70" s="15">
        <v>2917.5</v>
      </c>
    </row>
    <row r="71" ht="51" spans="1:7">
      <c r="A71" s="13" t="s">
        <v>270</v>
      </c>
      <c r="B71" s="13" t="s">
        <v>271</v>
      </c>
      <c r="C71" s="13" t="s">
        <v>272</v>
      </c>
      <c r="D71" s="13" t="s">
        <v>273</v>
      </c>
      <c r="E71" s="14" t="s">
        <v>25</v>
      </c>
      <c r="F71" s="15">
        <v>10627.5</v>
      </c>
      <c r="G71" s="15">
        <v>2400</v>
      </c>
    </row>
    <row r="72" ht="38.25" spans="1:7">
      <c r="A72" s="13" t="s">
        <v>274</v>
      </c>
      <c r="B72" s="13" t="s">
        <v>275</v>
      </c>
      <c r="C72" s="13" t="s">
        <v>276</v>
      </c>
      <c r="D72" s="13" t="s">
        <v>277</v>
      </c>
      <c r="E72" s="14" t="s">
        <v>25</v>
      </c>
      <c r="F72" s="15">
        <v>10327.5</v>
      </c>
      <c r="G72" s="15">
        <v>2400</v>
      </c>
    </row>
    <row r="73" ht="38.25" spans="1:7">
      <c r="A73" s="13" t="s">
        <v>278</v>
      </c>
      <c r="B73" s="13" t="s">
        <v>279</v>
      </c>
      <c r="C73" s="13" t="s">
        <v>280</v>
      </c>
      <c r="D73" s="13" t="s">
        <v>281</v>
      </c>
      <c r="E73" s="14" t="s">
        <v>25</v>
      </c>
      <c r="F73" s="15">
        <v>5670</v>
      </c>
      <c r="G73" s="15">
        <v>2257.5</v>
      </c>
    </row>
    <row r="74" ht="38.25" spans="1:7">
      <c r="A74" s="13" t="s">
        <v>282</v>
      </c>
      <c r="B74" s="13" t="s">
        <v>283</v>
      </c>
      <c r="C74" s="13" t="s">
        <v>284</v>
      </c>
      <c r="D74" s="13" t="s">
        <v>285</v>
      </c>
      <c r="E74" s="14" t="s">
        <v>25</v>
      </c>
      <c r="F74" s="15">
        <v>44550</v>
      </c>
      <c r="G74" s="15">
        <v>2910</v>
      </c>
    </row>
    <row r="75" ht="51" spans="1:7">
      <c r="A75" s="13" t="s">
        <v>286</v>
      </c>
      <c r="B75" s="13" t="s">
        <v>287</v>
      </c>
      <c r="C75" s="13" t="s">
        <v>288</v>
      </c>
      <c r="D75" s="13" t="s">
        <v>289</v>
      </c>
      <c r="E75" s="14" t="s">
        <v>25</v>
      </c>
      <c r="F75" s="15">
        <v>1365</v>
      </c>
      <c r="G75" s="15">
        <v>1072.5</v>
      </c>
    </row>
    <row r="76" ht="38.25" spans="1:7">
      <c r="A76" s="13" t="s">
        <v>290</v>
      </c>
      <c r="B76" s="13" t="s">
        <v>291</v>
      </c>
      <c r="C76" s="13" t="s">
        <v>292</v>
      </c>
      <c r="D76" s="13" t="s">
        <v>293</v>
      </c>
      <c r="E76" s="14" t="s">
        <v>25</v>
      </c>
      <c r="F76" s="15">
        <v>16500</v>
      </c>
      <c r="G76" s="15">
        <v>2400</v>
      </c>
    </row>
    <row r="77" ht="38.25" spans="1:7">
      <c r="A77" s="13" t="s">
        <v>294</v>
      </c>
      <c r="B77" s="13" t="s">
        <v>295</v>
      </c>
      <c r="C77" s="13" t="s">
        <v>296</v>
      </c>
      <c r="D77" s="13" t="s">
        <v>297</v>
      </c>
      <c r="E77" s="14" t="s">
        <v>25</v>
      </c>
      <c r="F77" s="15">
        <v>8167.5</v>
      </c>
      <c r="G77" s="15">
        <v>2295</v>
      </c>
    </row>
    <row r="78" ht="38.25" spans="1:7">
      <c r="A78" s="13" t="s">
        <v>298</v>
      </c>
      <c r="B78" s="13" t="s">
        <v>299</v>
      </c>
      <c r="C78" s="13" t="s">
        <v>300</v>
      </c>
      <c r="D78" s="13" t="s">
        <v>301</v>
      </c>
      <c r="E78" s="14" t="s">
        <v>25</v>
      </c>
      <c r="F78" s="15">
        <v>32152.5</v>
      </c>
      <c r="G78" s="15">
        <v>2400</v>
      </c>
    </row>
    <row r="79" ht="38.25" spans="1:7">
      <c r="A79" s="13" t="s">
        <v>302</v>
      </c>
      <c r="B79" s="13" t="s">
        <v>303</v>
      </c>
      <c r="C79" s="13" t="s">
        <v>304</v>
      </c>
      <c r="D79" s="13" t="s">
        <v>305</v>
      </c>
      <c r="E79" s="14" t="s">
        <v>25</v>
      </c>
      <c r="F79" s="15">
        <v>13792.5</v>
      </c>
      <c r="G79" s="15">
        <v>2400</v>
      </c>
    </row>
    <row r="80" ht="25.5" spans="1:7">
      <c r="A80" s="13" t="s">
        <v>306</v>
      </c>
      <c r="B80" s="13" t="s">
        <v>307</v>
      </c>
      <c r="C80" s="13" t="s">
        <v>308</v>
      </c>
      <c r="D80" s="13" t="s">
        <v>309</v>
      </c>
      <c r="E80" s="14" t="s">
        <v>310</v>
      </c>
      <c r="F80" s="15">
        <v>915</v>
      </c>
      <c r="G80" s="15">
        <v>390</v>
      </c>
    </row>
    <row r="81" ht="51" spans="1:7">
      <c r="A81" s="13" t="s">
        <v>311</v>
      </c>
      <c r="B81" s="13"/>
      <c r="C81" s="13" t="s">
        <v>312</v>
      </c>
      <c r="D81" s="13" t="s">
        <v>313</v>
      </c>
      <c r="E81" s="14" t="s">
        <v>314</v>
      </c>
      <c r="F81" s="15">
        <v>0</v>
      </c>
      <c r="G81" s="15">
        <v>34642.5</v>
      </c>
    </row>
    <row r="82" ht="38.25" spans="1:7">
      <c r="A82" s="13" t="s">
        <v>315</v>
      </c>
      <c r="B82" s="13" t="s">
        <v>316</v>
      </c>
      <c r="C82" s="13" t="s">
        <v>317</v>
      </c>
      <c r="D82" s="13" t="s">
        <v>318</v>
      </c>
      <c r="E82" s="14" t="s">
        <v>25</v>
      </c>
      <c r="F82" s="15">
        <v>4755</v>
      </c>
      <c r="G82" s="15">
        <v>1132.5</v>
      </c>
    </row>
    <row r="83" ht="38.25" spans="1:7">
      <c r="A83" s="13" t="s">
        <v>319</v>
      </c>
      <c r="B83" s="13" t="s">
        <v>320</v>
      </c>
      <c r="C83" s="13" t="s">
        <v>321</v>
      </c>
      <c r="D83" s="13" t="s">
        <v>322</v>
      </c>
      <c r="E83" s="14" t="s">
        <v>25</v>
      </c>
      <c r="F83" s="15">
        <v>14805</v>
      </c>
      <c r="G83" s="15">
        <v>1477.5</v>
      </c>
    </row>
    <row r="84" ht="38.25" spans="1:7">
      <c r="A84" s="13" t="s">
        <v>323</v>
      </c>
      <c r="B84" s="13" t="s">
        <v>324</v>
      </c>
      <c r="C84" s="13" t="s">
        <v>325</v>
      </c>
      <c r="D84" s="13" t="s">
        <v>326</v>
      </c>
      <c r="E84" s="14" t="s">
        <v>25</v>
      </c>
      <c r="F84" s="15">
        <v>6735</v>
      </c>
      <c r="G84" s="15">
        <v>1132.5</v>
      </c>
    </row>
    <row r="85" ht="38.25" spans="1:7">
      <c r="A85" s="13" t="s">
        <v>327</v>
      </c>
      <c r="B85" s="13" t="s">
        <v>328</v>
      </c>
      <c r="C85" s="13" t="s">
        <v>329</v>
      </c>
      <c r="D85" s="13" t="s">
        <v>330</v>
      </c>
      <c r="E85" s="14" t="s">
        <v>25</v>
      </c>
      <c r="F85" s="15">
        <v>13552.5</v>
      </c>
      <c r="G85" s="15">
        <v>1477.5</v>
      </c>
    </row>
    <row r="86" ht="38.25" spans="1:7">
      <c r="A86" s="13" t="s">
        <v>331</v>
      </c>
      <c r="B86" s="13" t="s">
        <v>332</v>
      </c>
      <c r="C86" s="13" t="s">
        <v>333</v>
      </c>
      <c r="D86" s="13" t="s">
        <v>334</v>
      </c>
      <c r="E86" s="14" t="s">
        <v>25</v>
      </c>
      <c r="F86" s="15">
        <v>12292.5</v>
      </c>
      <c r="G86" s="15">
        <v>1132.5</v>
      </c>
    </row>
    <row r="87" ht="38.25" spans="1:7">
      <c r="A87" s="13" t="s">
        <v>335</v>
      </c>
      <c r="B87" s="13" t="s">
        <v>336</v>
      </c>
      <c r="C87" s="13" t="s">
        <v>337</v>
      </c>
      <c r="D87" s="13" t="s">
        <v>338</v>
      </c>
      <c r="E87" s="14" t="s">
        <v>25</v>
      </c>
      <c r="F87" s="15">
        <v>24600</v>
      </c>
      <c r="G87" s="15">
        <v>1477.5</v>
      </c>
    </row>
    <row r="88" ht="38.25" spans="1:7">
      <c r="A88" s="13" t="s">
        <v>339</v>
      </c>
      <c r="B88" s="13" t="s">
        <v>340</v>
      </c>
      <c r="C88" s="13" t="s">
        <v>341</v>
      </c>
      <c r="D88" s="13" t="s">
        <v>342</v>
      </c>
      <c r="E88" s="14" t="s">
        <v>126</v>
      </c>
      <c r="F88" s="15">
        <v>23460</v>
      </c>
      <c r="G88" s="15">
        <v>34192.5</v>
      </c>
    </row>
    <row r="89" ht="51" spans="1:7">
      <c r="A89" s="13" t="s">
        <v>343</v>
      </c>
      <c r="B89" s="13" t="s">
        <v>344</v>
      </c>
      <c r="C89" s="13" t="s">
        <v>345</v>
      </c>
      <c r="D89" s="13" t="s">
        <v>346</v>
      </c>
      <c r="E89" s="14" t="s">
        <v>25</v>
      </c>
      <c r="F89" s="15">
        <v>7582.5</v>
      </c>
      <c r="G89" s="15">
        <v>1117.5</v>
      </c>
    </row>
    <row r="90" ht="76.5" spans="1:7">
      <c r="A90" s="13" t="s">
        <v>347</v>
      </c>
      <c r="B90" s="13" t="s">
        <v>348</v>
      </c>
      <c r="C90" s="13" t="s">
        <v>349</v>
      </c>
      <c r="D90" s="13" t="s">
        <v>350</v>
      </c>
      <c r="E90" s="14" t="s">
        <v>25</v>
      </c>
      <c r="F90" s="15">
        <v>180000</v>
      </c>
      <c r="G90" s="15">
        <v>54157.5</v>
      </c>
    </row>
    <row r="91" ht="89.25" spans="1:7">
      <c r="A91" s="13" t="s">
        <v>351</v>
      </c>
      <c r="B91" s="13" t="s">
        <v>352</v>
      </c>
      <c r="C91" s="13" t="s">
        <v>353</v>
      </c>
      <c r="D91" s="13" t="s">
        <v>354</v>
      </c>
      <c r="E91" s="14" t="s">
        <v>25</v>
      </c>
      <c r="F91" s="15">
        <v>360000</v>
      </c>
      <c r="G91" s="15">
        <v>56017.5</v>
      </c>
    </row>
    <row r="92" ht="76.5" spans="1:7">
      <c r="A92" s="13" t="s">
        <v>355</v>
      </c>
      <c r="B92" s="13" t="s">
        <v>356</v>
      </c>
      <c r="C92" s="13" t="s">
        <v>357</v>
      </c>
      <c r="D92" s="13" t="s">
        <v>358</v>
      </c>
      <c r="E92" s="14" t="s">
        <v>25</v>
      </c>
      <c r="F92" s="15">
        <v>104925</v>
      </c>
      <c r="G92" s="15">
        <v>30097.5</v>
      </c>
    </row>
    <row r="93" ht="76.5" spans="1:7">
      <c r="A93" s="13" t="s">
        <v>359</v>
      </c>
      <c r="B93" s="13" t="s">
        <v>360</v>
      </c>
      <c r="C93" s="13" t="s">
        <v>361</v>
      </c>
      <c r="D93" s="13" t="s">
        <v>362</v>
      </c>
      <c r="E93" s="14" t="s">
        <v>25</v>
      </c>
      <c r="F93" s="15">
        <v>208575</v>
      </c>
      <c r="G93" s="15">
        <v>30097.5</v>
      </c>
    </row>
    <row r="94" ht="38.25" spans="1:7">
      <c r="A94" s="13" t="s">
        <v>363</v>
      </c>
      <c r="B94" s="13"/>
      <c r="C94" s="13" t="s">
        <v>364</v>
      </c>
      <c r="D94" s="13" t="s">
        <v>365</v>
      </c>
      <c r="E94" s="14" t="s">
        <v>25</v>
      </c>
      <c r="F94" s="15">
        <v>0</v>
      </c>
      <c r="G94" s="15">
        <v>22912.5</v>
      </c>
    </row>
    <row r="95" ht="38.25" spans="1:7">
      <c r="A95" s="13" t="s">
        <v>366</v>
      </c>
      <c r="B95" s="13"/>
      <c r="C95" s="13" t="s">
        <v>367</v>
      </c>
      <c r="D95" s="13" t="s">
        <v>368</v>
      </c>
      <c r="E95" s="14" t="s">
        <v>25</v>
      </c>
      <c r="F95" s="15">
        <v>0</v>
      </c>
      <c r="G95" s="15">
        <v>30022.5</v>
      </c>
    </row>
    <row r="96" ht="51" spans="1:7">
      <c r="A96" s="13" t="s">
        <v>369</v>
      </c>
      <c r="B96" s="13" t="s">
        <v>370</v>
      </c>
      <c r="C96" s="13" t="s">
        <v>371</v>
      </c>
      <c r="D96" s="13" t="s">
        <v>372</v>
      </c>
      <c r="E96" s="14" t="s">
        <v>373</v>
      </c>
      <c r="F96" s="15">
        <v>540000</v>
      </c>
      <c r="G96" s="15">
        <v>15405000</v>
      </c>
    </row>
    <row r="97" ht="51" spans="1:7">
      <c r="A97" s="13" t="s">
        <v>374</v>
      </c>
      <c r="B97" s="13" t="s">
        <v>375</v>
      </c>
      <c r="C97" s="13" t="s">
        <v>376</v>
      </c>
      <c r="D97" s="13" t="s">
        <v>377</v>
      </c>
      <c r="E97" s="14" t="s">
        <v>373</v>
      </c>
      <c r="F97" s="15">
        <v>1080000</v>
      </c>
      <c r="G97" s="15">
        <v>23107500</v>
      </c>
    </row>
    <row r="98" ht="51" spans="1:7">
      <c r="A98" s="13" t="s">
        <v>378</v>
      </c>
      <c r="B98" s="13" t="s">
        <v>379</v>
      </c>
      <c r="C98" s="13" t="s">
        <v>380</v>
      </c>
      <c r="D98" s="13" t="s">
        <v>381</v>
      </c>
      <c r="E98" s="14" t="s">
        <v>373</v>
      </c>
      <c r="F98" s="15">
        <v>2160000</v>
      </c>
      <c r="G98" s="15">
        <v>30810000</v>
      </c>
    </row>
    <row r="99" ht="76.5" spans="1:7">
      <c r="A99" s="13" t="s">
        <v>382</v>
      </c>
      <c r="B99" s="13" t="s">
        <v>383</v>
      </c>
      <c r="C99" s="13" t="s">
        <v>384</v>
      </c>
      <c r="D99" s="13" t="s">
        <v>385</v>
      </c>
      <c r="E99" s="14" t="s">
        <v>25</v>
      </c>
      <c r="F99" s="15">
        <v>231825</v>
      </c>
      <c r="G99" s="15">
        <v>167775</v>
      </c>
    </row>
    <row r="100" ht="76.5" spans="1:7">
      <c r="A100" s="13" t="s">
        <v>386</v>
      </c>
      <c r="B100" s="13" t="s">
        <v>387</v>
      </c>
      <c r="C100" s="13" t="s">
        <v>388</v>
      </c>
      <c r="D100" s="13" t="s">
        <v>389</v>
      </c>
      <c r="E100" s="14" t="s">
        <v>25</v>
      </c>
      <c r="F100" s="15">
        <v>463650</v>
      </c>
      <c r="G100" s="15">
        <v>335550</v>
      </c>
    </row>
    <row r="101" ht="51" spans="1:7">
      <c r="A101" s="13" t="s">
        <v>390</v>
      </c>
      <c r="B101" s="13" t="s">
        <v>391</v>
      </c>
      <c r="C101" s="13" t="s">
        <v>392</v>
      </c>
      <c r="D101" s="13" t="s">
        <v>393</v>
      </c>
      <c r="E101" s="14" t="s">
        <v>25</v>
      </c>
      <c r="F101" s="15">
        <v>230925</v>
      </c>
      <c r="G101" s="15">
        <v>167775</v>
      </c>
    </row>
    <row r="102" ht="51" spans="1:7">
      <c r="A102" s="13" t="s">
        <v>394</v>
      </c>
      <c r="B102" s="13" t="s">
        <v>395</v>
      </c>
      <c r="C102" s="13" t="s">
        <v>396</v>
      </c>
      <c r="D102" s="13" t="s">
        <v>397</v>
      </c>
      <c r="E102" s="14" t="s">
        <v>25</v>
      </c>
      <c r="F102" s="15">
        <v>462000</v>
      </c>
      <c r="G102" s="15">
        <v>335550</v>
      </c>
    </row>
    <row r="103" ht="51" spans="1:7">
      <c r="A103" s="13" t="s">
        <v>398</v>
      </c>
      <c r="B103" s="13" t="s">
        <v>399</v>
      </c>
      <c r="C103" s="13" t="s">
        <v>400</v>
      </c>
      <c r="D103" s="13" t="s">
        <v>401</v>
      </c>
      <c r="E103" s="14" t="s">
        <v>25</v>
      </c>
      <c r="F103" s="15">
        <v>918000</v>
      </c>
      <c r="G103" s="15">
        <v>508725</v>
      </c>
    </row>
    <row r="104" ht="63.75" spans="1:7">
      <c r="A104" s="13" t="s">
        <v>402</v>
      </c>
      <c r="B104" s="13" t="s">
        <v>403</v>
      </c>
      <c r="C104" s="13" t="s">
        <v>404</v>
      </c>
      <c r="D104" s="13" t="s">
        <v>405</v>
      </c>
      <c r="E104" s="14" t="s">
        <v>25</v>
      </c>
      <c r="F104" s="15">
        <v>180000</v>
      </c>
      <c r="G104" s="15">
        <v>167775</v>
      </c>
    </row>
    <row r="105" ht="63.75" spans="1:7">
      <c r="A105" s="13" t="s">
        <v>406</v>
      </c>
      <c r="B105" s="13" t="s">
        <v>407</v>
      </c>
      <c r="C105" s="13" t="s">
        <v>408</v>
      </c>
      <c r="D105" s="13" t="s">
        <v>409</v>
      </c>
      <c r="E105" s="14" t="s">
        <v>25</v>
      </c>
      <c r="F105" s="15">
        <v>360000</v>
      </c>
      <c r="G105" s="15">
        <v>335550</v>
      </c>
    </row>
    <row r="106" ht="63.75" spans="1:7">
      <c r="A106" s="13" t="s">
        <v>410</v>
      </c>
      <c r="B106" s="13" t="s">
        <v>411</v>
      </c>
      <c r="C106" s="13" t="s">
        <v>412</v>
      </c>
      <c r="D106" s="13" t="s">
        <v>413</v>
      </c>
      <c r="E106" s="14" t="s">
        <v>25</v>
      </c>
      <c r="F106" s="15">
        <v>720000</v>
      </c>
      <c r="G106" s="15">
        <v>671175</v>
      </c>
    </row>
    <row r="107" ht="76.5" spans="1:7">
      <c r="A107" s="13" t="s">
        <v>414</v>
      </c>
      <c r="B107" s="13" t="s">
        <v>415</v>
      </c>
      <c r="C107" s="13" t="s">
        <v>416</v>
      </c>
      <c r="D107" s="13" t="s">
        <v>417</v>
      </c>
      <c r="E107" s="14" t="s">
        <v>25</v>
      </c>
      <c r="F107" s="15">
        <v>14362.5</v>
      </c>
      <c r="G107" s="15">
        <v>329325</v>
      </c>
    </row>
    <row r="108" ht="102" spans="1:7">
      <c r="A108" s="13" t="s">
        <v>418</v>
      </c>
      <c r="B108" s="13" t="s">
        <v>419</v>
      </c>
      <c r="C108" s="13" t="s">
        <v>420</v>
      </c>
      <c r="D108" s="13" t="s">
        <v>421</v>
      </c>
      <c r="E108" s="14" t="s">
        <v>25</v>
      </c>
      <c r="F108" s="15">
        <v>149175</v>
      </c>
      <c r="G108" s="15">
        <v>117450</v>
      </c>
    </row>
    <row r="109" ht="38.25" spans="1:7">
      <c r="A109" s="16" t="s">
        <v>422</v>
      </c>
      <c r="B109" s="13" t="s">
        <v>423</v>
      </c>
      <c r="C109" s="13" t="s">
        <v>424</v>
      </c>
      <c r="D109" s="16" t="s">
        <v>425</v>
      </c>
      <c r="E109" s="17" t="s">
        <v>25</v>
      </c>
      <c r="F109" s="15">
        <v>7042.5</v>
      </c>
      <c r="G109" s="15">
        <v>967.5</v>
      </c>
    </row>
    <row r="110" ht="63.75" spans="1:7">
      <c r="A110" s="13" t="s">
        <v>426</v>
      </c>
      <c r="B110" s="13" t="s">
        <v>427</v>
      </c>
      <c r="C110" s="13" t="s">
        <v>428</v>
      </c>
      <c r="D110" s="13" t="s">
        <v>429</v>
      </c>
      <c r="E110" s="14" t="s">
        <v>25</v>
      </c>
      <c r="F110" s="15">
        <v>7275</v>
      </c>
      <c r="G110" s="15">
        <v>1080</v>
      </c>
    </row>
    <row r="111" ht="38.25" spans="1:7">
      <c r="A111" s="13" t="s">
        <v>430</v>
      </c>
      <c r="B111" s="13" t="s">
        <v>431</v>
      </c>
      <c r="C111" s="13" t="s">
        <v>432</v>
      </c>
      <c r="D111" s="13" t="s">
        <v>433</v>
      </c>
      <c r="E111" s="14" t="s">
        <v>25</v>
      </c>
      <c r="F111" s="15">
        <v>14107.5</v>
      </c>
      <c r="G111" s="15">
        <v>1305</v>
      </c>
    </row>
    <row r="112" ht="63.75" spans="1:7">
      <c r="A112" s="13" t="s">
        <v>434</v>
      </c>
      <c r="B112" s="13" t="s">
        <v>435</v>
      </c>
      <c r="C112" s="13" t="s">
        <v>436</v>
      </c>
      <c r="D112" s="13" t="s">
        <v>437</v>
      </c>
      <c r="E112" s="14" t="s">
        <v>25</v>
      </c>
      <c r="F112" s="15">
        <v>14452.5</v>
      </c>
      <c r="G112" s="15">
        <v>1305</v>
      </c>
    </row>
    <row r="113" ht="38.25" spans="1:7">
      <c r="A113" s="13" t="s">
        <v>438</v>
      </c>
      <c r="B113" s="13" t="s">
        <v>439</v>
      </c>
      <c r="C113" s="13" t="s">
        <v>440</v>
      </c>
      <c r="D113" s="13" t="s">
        <v>441</v>
      </c>
      <c r="E113" s="14" t="s">
        <v>25</v>
      </c>
      <c r="F113" s="15">
        <v>11872.5</v>
      </c>
      <c r="G113" s="15">
        <v>1080</v>
      </c>
    </row>
    <row r="114" ht="38.25" spans="1:7">
      <c r="A114" s="13" t="s">
        <v>442</v>
      </c>
      <c r="B114" s="13" t="s">
        <v>443</v>
      </c>
      <c r="C114" s="13" t="s">
        <v>444</v>
      </c>
      <c r="D114" s="13" t="s">
        <v>445</v>
      </c>
      <c r="E114" s="14" t="s">
        <v>25</v>
      </c>
      <c r="F114" s="15">
        <v>23760</v>
      </c>
      <c r="G114" s="15">
        <v>1305</v>
      </c>
    </row>
    <row r="115" ht="63.75" spans="1:7">
      <c r="A115" s="13" t="s">
        <v>446</v>
      </c>
      <c r="B115" s="13" t="s">
        <v>447</v>
      </c>
      <c r="C115" s="13" t="s">
        <v>448</v>
      </c>
      <c r="D115" s="13" t="s">
        <v>449</v>
      </c>
      <c r="E115" s="14" t="s">
        <v>25</v>
      </c>
      <c r="F115" s="15">
        <v>25410</v>
      </c>
      <c r="G115" s="15">
        <v>3292.5</v>
      </c>
    </row>
    <row r="116" ht="63.75" spans="1:7">
      <c r="A116" s="13" t="s">
        <v>450</v>
      </c>
      <c r="B116" s="13" t="s">
        <v>451</v>
      </c>
      <c r="C116" s="13" t="s">
        <v>452</v>
      </c>
      <c r="D116" s="13" t="s">
        <v>453</v>
      </c>
      <c r="E116" s="14" t="s">
        <v>25</v>
      </c>
      <c r="F116" s="15">
        <v>32692.5</v>
      </c>
      <c r="G116" s="15">
        <v>3840</v>
      </c>
    </row>
    <row r="117" ht="63.75" spans="1:7">
      <c r="A117" s="13" t="s">
        <v>454</v>
      </c>
      <c r="B117" s="13" t="s">
        <v>455</v>
      </c>
      <c r="C117" s="13" t="s">
        <v>456</v>
      </c>
      <c r="D117" s="13" t="s">
        <v>457</v>
      </c>
      <c r="E117" s="14" t="s">
        <v>25</v>
      </c>
      <c r="F117" s="15">
        <v>7807.5</v>
      </c>
      <c r="G117" s="15">
        <v>1882.5</v>
      </c>
    </row>
    <row r="118" ht="63.75" spans="1:7">
      <c r="A118" s="13" t="s">
        <v>458</v>
      </c>
      <c r="B118" s="13" t="s">
        <v>459</v>
      </c>
      <c r="C118" s="13" t="s">
        <v>460</v>
      </c>
      <c r="D118" s="13" t="s">
        <v>461</v>
      </c>
      <c r="E118" s="14" t="s">
        <v>25</v>
      </c>
      <c r="F118" s="15">
        <v>13200</v>
      </c>
      <c r="G118" s="15">
        <v>2437.5</v>
      </c>
    </row>
    <row r="119" ht="63.75" spans="1:7">
      <c r="A119" s="13" t="s">
        <v>462</v>
      </c>
      <c r="B119" s="13" t="s">
        <v>463</v>
      </c>
      <c r="C119" s="13" t="s">
        <v>464</v>
      </c>
      <c r="D119" s="13" t="s">
        <v>465</v>
      </c>
      <c r="E119" s="14" t="s">
        <v>25</v>
      </c>
      <c r="F119" s="15">
        <v>15382.5</v>
      </c>
      <c r="G119" s="15">
        <v>3067.5</v>
      </c>
    </row>
    <row r="120" ht="63.75" spans="1:7">
      <c r="A120" s="13" t="s">
        <v>466</v>
      </c>
      <c r="B120" s="13" t="s">
        <v>467</v>
      </c>
      <c r="C120" s="13" t="s">
        <v>468</v>
      </c>
      <c r="D120" s="13" t="s">
        <v>469</v>
      </c>
      <c r="E120" s="14" t="s">
        <v>25</v>
      </c>
      <c r="F120" s="15">
        <v>38940</v>
      </c>
      <c r="G120" s="15">
        <v>4380</v>
      </c>
    </row>
    <row r="121" ht="63.75" spans="1:7">
      <c r="A121" s="13" t="s">
        <v>470</v>
      </c>
      <c r="B121" s="13" t="s">
        <v>471</v>
      </c>
      <c r="C121" s="13" t="s">
        <v>472</v>
      </c>
      <c r="D121" s="13" t="s">
        <v>473</v>
      </c>
      <c r="E121" s="14" t="s">
        <v>25</v>
      </c>
      <c r="F121" s="15">
        <v>9240</v>
      </c>
      <c r="G121" s="15">
        <v>2482.5</v>
      </c>
    </row>
    <row r="122" ht="63.75" spans="1:7">
      <c r="A122" s="13" t="s">
        <v>474</v>
      </c>
      <c r="B122" s="13" t="s">
        <v>475</v>
      </c>
      <c r="C122" s="13" t="s">
        <v>476</v>
      </c>
      <c r="D122" s="13" t="s">
        <v>477</v>
      </c>
      <c r="E122" s="14" t="s">
        <v>25</v>
      </c>
      <c r="F122" s="15">
        <v>17092.5</v>
      </c>
      <c r="G122" s="15">
        <v>2842.5</v>
      </c>
    </row>
    <row r="123" ht="63.75" spans="1:7">
      <c r="A123" s="13" t="s">
        <v>478</v>
      </c>
      <c r="B123" s="13" t="s">
        <v>479</v>
      </c>
      <c r="C123" s="13" t="s">
        <v>480</v>
      </c>
      <c r="D123" s="13" t="s">
        <v>481</v>
      </c>
      <c r="E123" s="14" t="s">
        <v>25</v>
      </c>
      <c r="F123" s="15">
        <v>20130</v>
      </c>
      <c r="G123" s="15">
        <v>3525</v>
      </c>
    </row>
    <row r="124" ht="63.75" spans="1:7">
      <c r="A124" s="13" t="s">
        <v>482</v>
      </c>
      <c r="B124" s="13" t="s">
        <v>483</v>
      </c>
      <c r="C124" s="13" t="s">
        <v>484</v>
      </c>
      <c r="D124" s="13" t="s">
        <v>485</v>
      </c>
      <c r="E124" s="14" t="s">
        <v>25</v>
      </c>
      <c r="F124" s="15">
        <v>13200</v>
      </c>
      <c r="G124" s="15">
        <v>2842.5</v>
      </c>
    </row>
    <row r="125" ht="63.75" spans="1:7">
      <c r="A125" s="13" t="s">
        <v>486</v>
      </c>
      <c r="B125" s="13" t="s">
        <v>487</v>
      </c>
      <c r="C125" s="13" t="s">
        <v>488</v>
      </c>
      <c r="D125" s="13" t="s">
        <v>489</v>
      </c>
      <c r="E125" s="14" t="s">
        <v>25</v>
      </c>
      <c r="F125" s="15">
        <v>30292.5</v>
      </c>
      <c r="G125" s="15">
        <v>3247.5</v>
      </c>
    </row>
    <row r="126" ht="63.75" spans="1:7">
      <c r="A126" s="13" t="s">
        <v>490</v>
      </c>
      <c r="B126" s="13" t="s">
        <v>491</v>
      </c>
      <c r="C126" s="13" t="s">
        <v>492</v>
      </c>
      <c r="D126" s="13" t="s">
        <v>493</v>
      </c>
      <c r="E126" s="14" t="s">
        <v>25</v>
      </c>
      <c r="F126" s="15">
        <v>35835</v>
      </c>
      <c r="G126" s="15">
        <v>4350</v>
      </c>
    </row>
    <row r="127" ht="63.75" spans="1:7">
      <c r="A127" s="13" t="s">
        <v>494</v>
      </c>
      <c r="B127" s="13" t="s">
        <v>495</v>
      </c>
      <c r="C127" s="13" t="s">
        <v>496</v>
      </c>
      <c r="D127" s="13" t="s">
        <v>497</v>
      </c>
      <c r="E127" s="14" t="s">
        <v>25</v>
      </c>
      <c r="F127" s="15">
        <v>17092.5</v>
      </c>
      <c r="G127" s="15">
        <v>2865</v>
      </c>
    </row>
    <row r="128" ht="63.75" spans="1:7">
      <c r="A128" s="13" t="s">
        <v>498</v>
      </c>
      <c r="B128" s="13" t="s">
        <v>499</v>
      </c>
      <c r="C128" s="13" t="s">
        <v>500</v>
      </c>
      <c r="D128" s="13" t="s">
        <v>501</v>
      </c>
      <c r="E128" s="14" t="s">
        <v>25</v>
      </c>
      <c r="F128" s="15">
        <v>40395</v>
      </c>
      <c r="G128" s="15">
        <v>3750</v>
      </c>
    </row>
    <row r="129" ht="63.75" spans="1:7">
      <c r="A129" s="13" t="s">
        <v>502</v>
      </c>
      <c r="B129" s="13" t="s">
        <v>503</v>
      </c>
      <c r="C129" s="13" t="s">
        <v>504</v>
      </c>
      <c r="D129" s="13" t="s">
        <v>505</v>
      </c>
      <c r="E129" s="14" t="s">
        <v>25</v>
      </c>
      <c r="F129" s="15">
        <v>48045</v>
      </c>
      <c r="G129" s="15">
        <v>4695</v>
      </c>
    </row>
    <row r="130" ht="63.75" spans="1:7">
      <c r="A130" s="13" t="s">
        <v>506</v>
      </c>
      <c r="B130" s="13" t="s">
        <v>507</v>
      </c>
      <c r="C130" s="13" t="s">
        <v>508</v>
      </c>
      <c r="D130" s="13" t="s">
        <v>509</v>
      </c>
      <c r="E130" s="14" t="s">
        <v>25</v>
      </c>
      <c r="F130" s="15">
        <v>14370</v>
      </c>
      <c r="G130" s="15">
        <v>2242.5</v>
      </c>
    </row>
    <row r="131" ht="63.75" spans="1:7">
      <c r="A131" s="13" t="s">
        <v>510</v>
      </c>
      <c r="B131" s="13" t="s">
        <v>511</v>
      </c>
      <c r="C131" s="13" t="s">
        <v>512</v>
      </c>
      <c r="D131" s="13" t="s">
        <v>513</v>
      </c>
      <c r="E131" s="14" t="s">
        <v>25</v>
      </c>
      <c r="F131" s="15">
        <v>20025</v>
      </c>
      <c r="G131" s="15">
        <v>2617.5</v>
      </c>
    </row>
    <row r="132" ht="63.75" spans="1:7">
      <c r="A132" s="13" t="s">
        <v>514</v>
      </c>
      <c r="B132" s="13" t="s">
        <v>515</v>
      </c>
      <c r="C132" s="13" t="s">
        <v>516</v>
      </c>
      <c r="D132" s="13" t="s">
        <v>517</v>
      </c>
      <c r="E132" s="14" t="s">
        <v>25</v>
      </c>
      <c r="F132" s="15">
        <v>3127.5</v>
      </c>
      <c r="G132" s="15">
        <v>1282.5</v>
      </c>
    </row>
    <row r="133" ht="63.75" spans="1:7">
      <c r="A133" s="13" t="s">
        <v>518</v>
      </c>
      <c r="B133" s="13" t="s">
        <v>519</v>
      </c>
      <c r="C133" s="13" t="s">
        <v>520</v>
      </c>
      <c r="D133" s="13" t="s">
        <v>521</v>
      </c>
      <c r="E133" s="14" t="s">
        <v>25</v>
      </c>
      <c r="F133" s="15">
        <v>6352.5</v>
      </c>
      <c r="G133" s="15">
        <v>1657.5</v>
      </c>
    </row>
    <row r="134" ht="63.75" spans="1:7">
      <c r="A134" s="13" t="s">
        <v>522</v>
      </c>
      <c r="B134" s="13" t="s">
        <v>523</v>
      </c>
      <c r="C134" s="13" t="s">
        <v>524</v>
      </c>
      <c r="D134" s="13" t="s">
        <v>525</v>
      </c>
      <c r="E134" s="14" t="s">
        <v>25</v>
      </c>
      <c r="F134" s="15">
        <v>7500</v>
      </c>
      <c r="G134" s="15">
        <v>2092.5</v>
      </c>
    </row>
    <row r="135" ht="63.75" spans="1:7">
      <c r="A135" s="13" t="s">
        <v>526</v>
      </c>
      <c r="B135" s="13" t="s">
        <v>527</v>
      </c>
      <c r="C135" s="13" t="s">
        <v>528</v>
      </c>
      <c r="D135" s="13" t="s">
        <v>529</v>
      </c>
      <c r="E135" s="14" t="s">
        <v>25</v>
      </c>
      <c r="F135" s="15">
        <v>9375</v>
      </c>
      <c r="G135" s="15">
        <v>2092.5</v>
      </c>
    </row>
    <row r="136" ht="63.75" spans="1:7">
      <c r="A136" s="13" t="s">
        <v>530</v>
      </c>
      <c r="B136" s="13" t="s">
        <v>531</v>
      </c>
      <c r="C136" s="13" t="s">
        <v>532</v>
      </c>
      <c r="D136" s="13" t="s">
        <v>533</v>
      </c>
      <c r="E136" s="14" t="s">
        <v>25</v>
      </c>
      <c r="F136" s="15">
        <v>24465</v>
      </c>
      <c r="G136" s="15">
        <v>2985</v>
      </c>
    </row>
    <row r="137" ht="63.75" spans="1:7">
      <c r="A137" s="13" t="s">
        <v>534</v>
      </c>
      <c r="B137" s="13" t="s">
        <v>535</v>
      </c>
      <c r="C137" s="13" t="s">
        <v>536</v>
      </c>
      <c r="D137" s="13" t="s">
        <v>537</v>
      </c>
      <c r="E137" s="14" t="s">
        <v>25</v>
      </c>
      <c r="F137" s="15">
        <v>4260</v>
      </c>
      <c r="G137" s="15">
        <v>1695</v>
      </c>
    </row>
    <row r="138" ht="63.75" spans="1:7">
      <c r="A138" s="13" t="s">
        <v>538</v>
      </c>
      <c r="B138" s="13" t="s">
        <v>539</v>
      </c>
      <c r="C138" s="13" t="s">
        <v>540</v>
      </c>
      <c r="D138" s="13" t="s">
        <v>541</v>
      </c>
      <c r="E138" s="14" t="s">
        <v>25</v>
      </c>
      <c r="F138" s="15">
        <v>9067.5</v>
      </c>
      <c r="G138" s="15">
        <v>1935</v>
      </c>
    </row>
    <row r="139" ht="63.75" spans="1:7">
      <c r="A139" s="13" t="s">
        <v>542</v>
      </c>
      <c r="B139" s="13" t="s">
        <v>543</v>
      </c>
      <c r="C139" s="13" t="s">
        <v>544</v>
      </c>
      <c r="D139" s="13" t="s">
        <v>545</v>
      </c>
      <c r="E139" s="14" t="s">
        <v>25</v>
      </c>
      <c r="F139" s="15">
        <v>10807.5</v>
      </c>
      <c r="G139" s="15">
        <v>2400</v>
      </c>
    </row>
    <row r="140" ht="63.75" spans="1:7">
      <c r="A140" s="13" t="s">
        <v>546</v>
      </c>
      <c r="B140" s="13" t="s">
        <v>547</v>
      </c>
      <c r="C140" s="13" t="s">
        <v>548</v>
      </c>
      <c r="D140" s="13" t="s">
        <v>549</v>
      </c>
      <c r="E140" s="14" t="s">
        <v>25</v>
      </c>
      <c r="F140" s="15">
        <v>13522.5</v>
      </c>
      <c r="G140" s="15">
        <v>2400</v>
      </c>
    </row>
    <row r="141" ht="63.75" spans="1:7">
      <c r="A141" s="13" t="s">
        <v>550</v>
      </c>
      <c r="B141" s="13" t="s">
        <v>551</v>
      </c>
      <c r="C141" s="13" t="s">
        <v>552</v>
      </c>
      <c r="D141" s="13" t="s">
        <v>553</v>
      </c>
      <c r="E141" s="14" t="s">
        <v>25</v>
      </c>
      <c r="F141" s="15">
        <v>6727.5</v>
      </c>
      <c r="G141" s="15">
        <v>1935</v>
      </c>
    </row>
    <row r="142" ht="63.75" spans="1:7">
      <c r="A142" s="13" t="s">
        <v>554</v>
      </c>
      <c r="B142" s="13" t="s">
        <v>555</v>
      </c>
      <c r="C142" s="13" t="s">
        <v>556</v>
      </c>
      <c r="D142" s="13" t="s">
        <v>557</v>
      </c>
      <c r="E142" s="14" t="s">
        <v>25</v>
      </c>
      <c r="F142" s="15">
        <v>16155</v>
      </c>
      <c r="G142" s="15">
        <v>2212.5</v>
      </c>
    </row>
    <row r="143" ht="63.75" spans="1:7">
      <c r="A143" s="13" t="s">
        <v>558</v>
      </c>
      <c r="B143" s="13" t="s">
        <v>559</v>
      </c>
      <c r="C143" s="13" t="s">
        <v>560</v>
      </c>
      <c r="D143" s="13" t="s">
        <v>561</v>
      </c>
      <c r="E143" s="14" t="s">
        <v>25</v>
      </c>
      <c r="F143" s="15">
        <v>19387.5</v>
      </c>
      <c r="G143" s="15">
        <v>2985</v>
      </c>
    </row>
    <row r="144" ht="63.75" spans="1:7">
      <c r="A144" s="13" t="s">
        <v>562</v>
      </c>
      <c r="B144" s="13" t="s">
        <v>563</v>
      </c>
      <c r="C144" s="13" t="s">
        <v>564</v>
      </c>
      <c r="D144" s="13" t="s">
        <v>565</v>
      </c>
      <c r="E144" s="14" t="s">
        <v>25</v>
      </c>
      <c r="F144" s="15">
        <v>9555</v>
      </c>
      <c r="G144" s="15">
        <v>1950</v>
      </c>
    </row>
    <row r="145" ht="63.75" spans="1:7">
      <c r="A145" s="13" t="s">
        <v>566</v>
      </c>
      <c r="B145" s="13" t="s">
        <v>567</v>
      </c>
      <c r="C145" s="13" t="s">
        <v>568</v>
      </c>
      <c r="D145" s="13" t="s">
        <v>569</v>
      </c>
      <c r="E145" s="14" t="s">
        <v>25</v>
      </c>
      <c r="F145" s="15">
        <v>23647.5</v>
      </c>
      <c r="G145" s="15">
        <v>2557.5</v>
      </c>
    </row>
    <row r="146" ht="63.75" spans="1:7">
      <c r="A146" s="13" t="s">
        <v>570</v>
      </c>
      <c r="B146" s="13" t="s">
        <v>571</v>
      </c>
      <c r="C146" s="13" t="s">
        <v>572</v>
      </c>
      <c r="D146" s="13" t="s">
        <v>573</v>
      </c>
      <c r="E146" s="14" t="s">
        <v>25</v>
      </c>
      <c r="F146" s="15">
        <v>28530</v>
      </c>
      <c r="G146" s="15">
        <v>3202.5</v>
      </c>
    </row>
    <row r="147" ht="25.5" spans="1:7">
      <c r="A147" s="13" t="s">
        <v>574</v>
      </c>
      <c r="B147" s="13" t="s">
        <v>575</v>
      </c>
      <c r="C147" s="13" t="s">
        <v>576</v>
      </c>
      <c r="D147" s="13" t="s">
        <v>577</v>
      </c>
      <c r="E147" s="14" t="s">
        <v>126</v>
      </c>
      <c r="F147" s="15">
        <v>7560</v>
      </c>
      <c r="G147" s="15">
        <v>360</v>
      </c>
    </row>
    <row r="148" ht="25.5" spans="1:7">
      <c r="A148" s="13" t="s">
        <v>578</v>
      </c>
      <c r="B148" s="13" t="s">
        <v>579</v>
      </c>
      <c r="C148" s="13" t="s">
        <v>580</v>
      </c>
      <c r="D148" s="13" t="s">
        <v>581</v>
      </c>
      <c r="E148" s="14" t="s">
        <v>126</v>
      </c>
      <c r="F148" s="15">
        <v>7560</v>
      </c>
      <c r="G148" s="15">
        <v>360</v>
      </c>
    </row>
    <row r="149" ht="25.5" spans="1:7">
      <c r="A149" s="13" t="s">
        <v>582</v>
      </c>
      <c r="B149" s="13" t="s">
        <v>583</v>
      </c>
      <c r="C149" s="13" t="s">
        <v>584</v>
      </c>
      <c r="D149" s="13" t="s">
        <v>585</v>
      </c>
      <c r="E149" s="14" t="s">
        <v>126</v>
      </c>
      <c r="F149" s="15">
        <v>7560</v>
      </c>
      <c r="G149" s="15">
        <v>360</v>
      </c>
    </row>
    <row r="150" ht="25.5" spans="1:7">
      <c r="A150" s="13" t="s">
        <v>586</v>
      </c>
      <c r="B150" s="13" t="s">
        <v>587</v>
      </c>
      <c r="C150" s="13" t="s">
        <v>588</v>
      </c>
      <c r="D150" s="13" t="s">
        <v>589</v>
      </c>
      <c r="E150" s="14" t="s">
        <v>126</v>
      </c>
      <c r="F150" s="15">
        <v>13762.5</v>
      </c>
      <c r="G150" s="15">
        <v>360</v>
      </c>
    </row>
    <row r="151" ht="25.5" spans="1:7">
      <c r="A151" s="13" t="s">
        <v>590</v>
      </c>
      <c r="B151" s="13" t="s">
        <v>591</v>
      </c>
      <c r="C151" s="13" t="s">
        <v>592</v>
      </c>
      <c r="D151" s="13" t="s">
        <v>593</v>
      </c>
      <c r="E151" s="14" t="s">
        <v>126</v>
      </c>
      <c r="F151" s="15">
        <v>14520</v>
      </c>
      <c r="G151" s="15">
        <v>360</v>
      </c>
    </row>
    <row r="152" ht="25.5" spans="1:7">
      <c r="A152" s="13" t="s">
        <v>594</v>
      </c>
      <c r="B152" s="13" t="s">
        <v>595</v>
      </c>
      <c r="C152" s="13" t="s">
        <v>596</v>
      </c>
      <c r="D152" s="13" t="s">
        <v>597</v>
      </c>
      <c r="E152" s="14" t="s">
        <v>126</v>
      </c>
      <c r="F152" s="15">
        <v>13072.5</v>
      </c>
      <c r="G152" s="15">
        <v>360</v>
      </c>
    </row>
    <row r="153" ht="38.25" spans="1:7">
      <c r="A153" s="13" t="s">
        <v>598</v>
      </c>
      <c r="B153" s="13"/>
      <c r="C153" s="13" t="s">
        <v>599</v>
      </c>
      <c r="D153" s="13" t="s">
        <v>600</v>
      </c>
      <c r="E153" s="14" t="s">
        <v>25</v>
      </c>
      <c r="F153" s="15">
        <v>0</v>
      </c>
      <c r="G153" s="15">
        <v>1395</v>
      </c>
    </row>
    <row r="154" ht="25.5" spans="1:7">
      <c r="A154" s="13" t="s">
        <v>601</v>
      </c>
      <c r="B154" s="13" t="s">
        <v>602</v>
      </c>
      <c r="C154" s="13" t="s">
        <v>603</v>
      </c>
      <c r="D154" s="13" t="s">
        <v>604</v>
      </c>
      <c r="E154" s="14" t="s">
        <v>25</v>
      </c>
      <c r="F154" s="15">
        <v>21022.5</v>
      </c>
      <c r="G154" s="15">
        <v>55927.5</v>
      </c>
    </row>
    <row r="155" ht="25.5" spans="1:7">
      <c r="A155" s="13" t="s">
        <v>605</v>
      </c>
      <c r="B155" s="13" t="s">
        <v>606</v>
      </c>
      <c r="C155" s="13" t="s">
        <v>607</v>
      </c>
      <c r="D155" s="13" t="s">
        <v>608</v>
      </c>
      <c r="E155" s="14" t="s">
        <v>609</v>
      </c>
      <c r="F155" s="15">
        <v>616200</v>
      </c>
      <c r="G155" s="15">
        <v>503325</v>
      </c>
    </row>
    <row r="156" ht="63.75" spans="1:7">
      <c r="A156" s="13" t="s">
        <v>610</v>
      </c>
      <c r="B156" s="13" t="s">
        <v>611</v>
      </c>
      <c r="C156" s="13" t="s">
        <v>612</v>
      </c>
      <c r="D156" s="13" t="s">
        <v>613</v>
      </c>
      <c r="E156" s="14" t="s">
        <v>25</v>
      </c>
      <c r="F156" s="15">
        <v>180000</v>
      </c>
      <c r="G156" s="15">
        <v>41947.5</v>
      </c>
    </row>
    <row r="157" ht="63.75" spans="1:7">
      <c r="A157" s="13" t="s">
        <v>614</v>
      </c>
      <c r="B157" s="13" t="s">
        <v>615</v>
      </c>
      <c r="C157" s="13" t="s">
        <v>616</v>
      </c>
      <c r="D157" s="13" t="s">
        <v>617</v>
      </c>
      <c r="E157" s="14" t="s">
        <v>25</v>
      </c>
      <c r="F157" s="15">
        <v>360000</v>
      </c>
      <c r="G157" s="15">
        <v>55927.5</v>
      </c>
    </row>
    <row r="158" ht="63.75" spans="1:7">
      <c r="A158" s="13" t="s">
        <v>618</v>
      </c>
      <c r="B158" s="13" t="s">
        <v>619</v>
      </c>
      <c r="C158" s="13" t="s">
        <v>620</v>
      </c>
      <c r="D158" s="13" t="s">
        <v>621</v>
      </c>
      <c r="E158" s="14" t="s">
        <v>25</v>
      </c>
      <c r="F158" s="15">
        <v>540000</v>
      </c>
      <c r="G158" s="15">
        <v>83850</v>
      </c>
    </row>
    <row r="159" ht="51" spans="1:7">
      <c r="A159" s="13" t="s">
        <v>622</v>
      </c>
      <c r="B159" s="13" t="s">
        <v>623</v>
      </c>
      <c r="C159" s="13" t="s">
        <v>624</v>
      </c>
      <c r="D159" s="13" t="s">
        <v>625</v>
      </c>
      <c r="E159" s="14" t="s">
        <v>25</v>
      </c>
      <c r="F159" s="15">
        <v>34245</v>
      </c>
      <c r="G159" s="15">
        <v>41947.5</v>
      </c>
    </row>
    <row r="160" ht="51" spans="1:7">
      <c r="A160" s="13" t="s">
        <v>626</v>
      </c>
      <c r="B160" s="13" t="s">
        <v>627</v>
      </c>
      <c r="C160" s="13" t="s">
        <v>628</v>
      </c>
      <c r="D160" s="13" t="s">
        <v>629</v>
      </c>
      <c r="E160" s="14" t="s">
        <v>25</v>
      </c>
      <c r="F160" s="15">
        <v>68467.5</v>
      </c>
      <c r="G160" s="15">
        <v>56017.5</v>
      </c>
    </row>
    <row r="161" ht="51" spans="1:7">
      <c r="A161" s="13" t="s">
        <v>630</v>
      </c>
      <c r="B161" s="13" t="s">
        <v>631</v>
      </c>
      <c r="C161" s="13" t="s">
        <v>632</v>
      </c>
      <c r="D161" s="13" t="s">
        <v>633</v>
      </c>
      <c r="E161" s="14" t="s">
        <v>25</v>
      </c>
      <c r="F161" s="15">
        <v>33112.5</v>
      </c>
      <c r="G161" s="15">
        <v>41947.5</v>
      </c>
    </row>
    <row r="162" ht="51" spans="1:7">
      <c r="A162" s="13" t="s">
        <v>634</v>
      </c>
      <c r="B162" s="13" t="s">
        <v>635</v>
      </c>
      <c r="C162" s="13" t="s">
        <v>636</v>
      </c>
      <c r="D162" s="13" t="s">
        <v>637</v>
      </c>
      <c r="E162" s="14" t="s">
        <v>25</v>
      </c>
      <c r="F162" s="15">
        <v>66562.5</v>
      </c>
      <c r="G162" s="15">
        <v>55927.5</v>
      </c>
    </row>
    <row r="163" ht="51" spans="1:7">
      <c r="A163" s="13" t="s">
        <v>638</v>
      </c>
      <c r="B163" s="13"/>
      <c r="C163" s="13" t="s">
        <v>639</v>
      </c>
      <c r="D163" s="13" t="s">
        <v>640</v>
      </c>
      <c r="E163" s="14" t="s">
        <v>225</v>
      </c>
      <c r="F163" s="15">
        <v>0</v>
      </c>
      <c r="G163" s="15">
        <v>9015</v>
      </c>
    </row>
    <row r="164" ht="51" spans="1:7">
      <c r="A164" s="13" t="s">
        <v>641</v>
      </c>
      <c r="B164" s="13"/>
      <c r="C164" s="13" t="s">
        <v>642</v>
      </c>
      <c r="D164" s="13" t="s">
        <v>643</v>
      </c>
      <c r="E164" s="14" t="s">
        <v>644</v>
      </c>
      <c r="F164" s="15">
        <v>0</v>
      </c>
      <c r="G164" s="15">
        <v>2255250</v>
      </c>
    </row>
    <row r="165" ht="25.5" spans="1:7">
      <c r="A165" s="13" t="s">
        <v>645</v>
      </c>
      <c r="B165" s="13"/>
      <c r="C165" s="13" t="s">
        <v>646</v>
      </c>
      <c r="D165" s="13" t="s">
        <v>647</v>
      </c>
      <c r="E165" s="14" t="s">
        <v>648</v>
      </c>
      <c r="F165" s="15">
        <v>0</v>
      </c>
      <c r="G165" s="15">
        <v>7680</v>
      </c>
    </row>
    <row r="166" ht="25.5" spans="1:7">
      <c r="A166" s="13" t="s">
        <v>649</v>
      </c>
      <c r="B166" s="13"/>
      <c r="C166" s="13" t="s">
        <v>650</v>
      </c>
      <c r="D166" s="13" t="s">
        <v>651</v>
      </c>
      <c r="E166" s="14" t="s">
        <v>135</v>
      </c>
      <c r="F166" s="15">
        <v>0</v>
      </c>
      <c r="G166" s="15">
        <v>26527.5</v>
      </c>
    </row>
    <row r="167" spans="1:7">
      <c r="A167" s="13" t="s">
        <v>652</v>
      </c>
      <c r="B167" s="13"/>
      <c r="C167" s="13" t="s">
        <v>653</v>
      </c>
      <c r="D167" s="13" t="s">
        <v>654</v>
      </c>
      <c r="E167" s="14" t="s">
        <v>135</v>
      </c>
      <c r="F167" s="15">
        <v>0</v>
      </c>
      <c r="G167" s="15">
        <v>9015</v>
      </c>
    </row>
    <row r="168" spans="1:7">
      <c r="A168" s="13" t="s">
        <v>655</v>
      </c>
      <c r="B168" s="13"/>
      <c r="C168" s="13" t="s">
        <v>656</v>
      </c>
      <c r="D168" s="13" t="s">
        <v>657</v>
      </c>
      <c r="E168" s="14" t="s">
        <v>648</v>
      </c>
      <c r="F168" s="15">
        <v>0</v>
      </c>
      <c r="G168" s="15">
        <v>3645</v>
      </c>
    </row>
    <row r="169" ht="25.5" spans="1:7">
      <c r="A169" s="13" t="s">
        <v>658</v>
      </c>
      <c r="B169" s="13"/>
      <c r="C169" s="13" t="s">
        <v>659</v>
      </c>
      <c r="D169" s="13" t="s">
        <v>660</v>
      </c>
      <c r="E169" s="14" t="s">
        <v>135</v>
      </c>
      <c r="F169" s="15">
        <v>0</v>
      </c>
      <c r="G169" s="15">
        <v>22552.5</v>
      </c>
    </row>
    <row r="170" ht="25.5" spans="1:7">
      <c r="A170" s="13" t="s">
        <v>661</v>
      </c>
      <c r="B170" s="13"/>
      <c r="C170" s="13" t="s">
        <v>662</v>
      </c>
      <c r="D170" s="13" t="s">
        <v>663</v>
      </c>
      <c r="E170" s="14" t="s">
        <v>664</v>
      </c>
      <c r="F170" s="15">
        <v>0</v>
      </c>
      <c r="G170" s="15">
        <v>12540</v>
      </c>
    </row>
    <row r="171" spans="1:7">
      <c r="A171" s="13" t="s">
        <v>665</v>
      </c>
      <c r="B171" s="13"/>
      <c r="C171" s="13" t="s">
        <v>666</v>
      </c>
      <c r="D171" s="13" t="s">
        <v>667</v>
      </c>
      <c r="E171" s="14" t="s">
        <v>135</v>
      </c>
      <c r="F171" s="15">
        <v>0</v>
      </c>
      <c r="G171" s="15">
        <v>7042.5</v>
      </c>
    </row>
    <row r="172" spans="1:7">
      <c r="A172" s="13" t="s">
        <v>668</v>
      </c>
      <c r="B172" s="13" t="s">
        <v>669</v>
      </c>
      <c r="C172" s="13" t="s">
        <v>670</v>
      </c>
      <c r="D172" s="13" t="s">
        <v>671</v>
      </c>
      <c r="E172" s="14" t="s">
        <v>135</v>
      </c>
      <c r="F172" s="15">
        <v>5152.5</v>
      </c>
      <c r="G172" s="15">
        <v>1207.5</v>
      </c>
    </row>
    <row r="173" spans="1:7">
      <c r="A173" s="13" t="s">
        <v>672</v>
      </c>
      <c r="B173" s="13" t="s">
        <v>673</v>
      </c>
      <c r="C173" s="13" t="s">
        <v>674</v>
      </c>
      <c r="D173" s="13" t="s">
        <v>675</v>
      </c>
      <c r="E173" s="14" t="s">
        <v>135</v>
      </c>
      <c r="F173" s="15">
        <v>1762.5</v>
      </c>
      <c r="G173" s="15">
        <v>472.5</v>
      </c>
    </row>
    <row r="174" ht="63.75" spans="1:7">
      <c r="A174" s="13" t="s">
        <v>676</v>
      </c>
      <c r="B174" s="13"/>
      <c r="C174" s="13" t="s">
        <v>677</v>
      </c>
      <c r="D174" s="13" t="s">
        <v>678</v>
      </c>
      <c r="E174" s="14" t="s">
        <v>249</v>
      </c>
      <c r="F174" s="15">
        <v>0</v>
      </c>
      <c r="G174" s="15">
        <v>64747.5</v>
      </c>
    </row>
    <row r="175" ht="38.25" spans="1:7">
      <c r="A175" s="13" t="s">
        <v>679</v>
      </c>
      <c r="B175" s="13" t="s">
        <v>680</v>
      </c>
      <c r="C175" s="13" t="s">
        <v>681</v>
      </c>
      <c r="D175" s="13" t="s">
        <v>682</v>
      </c>
      <c r="E175" s="14" t="s">
        <v>126</v>
      </c>
      <c r="F175" s="15">
        <v>26400</v>
      </c>
      <c r="G175" s="15">
        <v>42195</v>
      </c>
    </row>
    <row r="176" ht="25.5" spans="1:7">
      <c r="A176" s="13" t="s">
        <v>683</v>
      </c>
      <c r="B176" s="13" t="s">
        <v>684</v>
      </c>
      <c r="C176" s="13" t="s">
        <v>685</v>
      </c>
      <c r="D176" s="13" t="s">
        <v>686</v>
      </c>
      <c r="E176" s="14" t="s">
        <v>25</v>
      </c>
      <c r="F176" s="15">
        <v>10432.5</v>
      </c>
      <c r="G176" s="15">
        <v>1395</v>
      </c>
    </row>
    <row r="177" ht="25.5" spans="1:7">
      <c r="A177" s="13" t="s">
        <v>687</v>
      </c>
      <c r="B177" s="13" t="s">
        <v>688</v>
      </c>
      <c r="C177" s="13" t="s">
        <v>689</v>
      </c>
      <c r="D177" s="13" t="s">
        <v>690</v>
      </c>
      <c r="E177" s="14" t="s">
        <v>25</v>
      </c>
      <c r="F177" s="15">
        <v>19545</v>
      </c>
      <c r="G177" s="15">
        <v>1395</v>
      </c>
    </row>
    <row r="178" ht="25.5" spans="1:7">
      <c r="A178" s="13" t="s">
        <v>691</v>
      </c>
      <c r="B178" s="13" t="s">
        <v>692</v>
      </c>
      <c r="C178" s="13" t="s">
        <v>693</v>
      </c>
      <c r="D178" s="13" t="s">
        <v>694</v>
      </c>
      <c r="E178" s="14" t="s">
        <v>25</v>
      </c>
      <c r="F178" s="15">
        <v>34927.5</v>
      </c>
      <c r="G178" s="15">
        <v>1395</v>
      </c>
    </row>
    <row r="179" ht="25.5" spans="1:7">
      <c r="A179" s="13" t="s">
        <v>695</v>
      </c>
      <c r="B179" s="13" t="s">
        <v>696</v>
      </c>
      <c r="C179" s="13" t="s">
        <v>697</v>
      </c>
      <c r="D179" s="13" t="s">
        <v>698</v>
      </c>
      <c r="E179" s="14" t="s">
        <v>25</v>
      </c>
      <c r="F179" s="15">
        <v>3607.5</v>
      </c>
      <c r="G179" s="15">
        <v>727.5</v>
      </c>
    </row>
    <row r="180" ht="51" spans="1:7">
      <c r="A180" s="13" t="s">
        <v>699</v>
      </c>
      <c r="B180" s="13" t="s">
        <v>700</v>
      </c>
      <c r="C180" s="13" t="s">
        <v>701</v>
      </c>
      <c r="D180" s="13" t="s">
        <v>702</v>
      </c>
      <c r="E180" s="14" t="s">
        <v>126</v>
      </c>
      <c r="F180" s="15">
        <v>207225</v>
      </c>
      <c r="G180" s="15">
        <v>276975</v>
      </c>
    </row>
    <row r="181" ht="25.5" spans="1:7">
      <c r="A181" s="13" t="s">
        <v>703</v>
      </c>
      <c r="B181" s="13"/>
      <c r="C181" s="13" t="s">
        <v>704</v>
      </c>
      <c r="D181" s="13" t="s">
        <v>705</v>
      </c>
      <c r="E181" s="14" t="s">
        <v>706</v>
      </c>
      <c r="F181" s="15">
        <v>0</v>
      </c>
      <c r="G181" s="15">
        <v>10860</v>
      </c>
    </row>
    <row r="182" ht="38.25" spans="1:7">
      <c r="A182" s="13" t="s">
        <v>707</v>
      </c>
      <c r="B182" s="13" t="s">
        <v>708</v>
      </c>
      <c r="C182" s="13" t="s">
        <v>709</v>
      </c>
      <c r="D182" s="13" t="s">
        <v>710</v>
      </c>
      <c r="E182" s="14" t="s">
        <v>711</v>
      </c>
      <c r="F182" s="15">
        <v>54457.5</v>
      </c>
      <c r="G182" s="15">
        <v>6532.5</v>
      </c>
    </row>
    <row r="183" ht="76.5" spans="1:7">
      <c r="A183" s="13" t="s">
        <v>712</v>
      </c>
      <c r="B183" s="13" t="s">
        <v>713</v>
      </c>
      <c r="C183" s="13" t="s">
        <v>714</v>
      </c>
      <c r="D183" s="13" t="s">
        <v>715</v>
      </c>
      <c r="E183" s="14" t="s">
        <v>215</v>
      </c>
      <c r="F183" s="15">
        <v>8437500</v>
      </c>
      <c r="G183" s="15">
        <v>251175</v>
      </c>
    </row>
    <row r="184" ht="38.25" spans="1:7">
      <c r="A184" s="13" t="s">
        <v>716</v>
      </c>
      <c r="B184" s="13" t="s">
        <v>717</v>
      </c>
      <c r="C184" s="13" t="s">
        <v>718</v>
      </c>
      <c r="D184" s="13" t="s">
        <v>719</v>
      </c>
      <c r="E184" s="14" t="s">
        <v>720</v>
      </c>
      <c r="F184" s="15">
        <v>119400</v>
      </c>
      <c r="G184" s="15">
        <v>89325</v>
      </c>
    </row>
    <row r="185" spans="1:7">
      <c r="A185" s="13" t="s">
        <v>721</v>
      </c>
      <c r="B185" s="13" t="s">
        <v>722</v>
      </c>
      <c r="C185" s="13" t="s">
        <v>723</v>
      </c>
      <c r="D185" s="13" t="s">
        <v>724</v>
      </c>
      <c r="E185" s="14" t="s">
        <v>711</v>
      </c>
      <c r="F185" s="15">
        <v>276150</v>
      </c>
      <c r="G185" s="15">
        <v>40222.5</v>
      </c>
    </row>
    <row r="186" ht="25.5" spans="1:7">
      <c r="A186" s="13" t="s">
        <v>725</v>
      </c>
      <c r="B186" s="13"/>
      <c r="C186" s="13" t="s">
        <v>726</v>
      </c>
      <c r="D186" s="13" t="s">
        <v>727</v>
      </c>
      <c r="E186" s="14" t="s">
        <v>202</v>
      </c>
      <c r="F186" s="15">
        <v>0</v>
      </c>
      <c r="G186" s="15">
        <v>26527.5</v>
      </c>
    </row>
    <row r="187" spans="1:7">
      <c r="A187" s="13" t="s">
        <v>728</v>
      </c>
      <c r="B187" s="13"/>
      <c r="C187" s="13" t="s">
        <v>729</v>
      </c>
      <c r="D187" s="13" t="s">
        <v>730</v>
      </c>
      <c r="E187" s="14" t="s">
        <v>314</v>
      </c>
      <c r="F187" s="15">
        <v>0</v>
      </c>
      <c r="G187" s="15">
        <v>1650</v>
      </c>
    </row>
    <row r="188" ht="25.5" spans="1:7">
      <c r="A188" s="13" t="s">
        <v>731</v>
      </c>
      <c r="B188" s="13" t="s">
        <v>732</v>
      </c>
      <c r="C188" s="13" t="s">
        <v>733</v>
      </c>
      <c r="D188" s="13" t="s">
        <v>734</v>
      </c>
      <c r="E188" s="14" t="s">
        <v>126</v>
      </c>
      <c r="F188" s="15">
        <v>0</v>
      </c>
      <c r="G188" s="15">
        <v>750</v>
      </c>
    </row>
    <row r="189" ht="25.5" spans="1:7">
      <c r="A189" s="13" t="s">
        <v>735</v>
      </c>
      <c r="B189" s="13" t="s">
        <v>736</v>
      </c>
      <c r="C189" s="13" t="s">
        <v>737</v>
      </c>
      <c r="D189" s="13" t="s">
        <v>738</v>
      </c>
      <c r="E189" s="14" t="s">
        <v>720</v>
      </c>
      <c r="F189" s="15">
        <v>44362.5</v>
      </c>
      <c r="G189" s="15">
        <v>87900</v>
      </c>
    </row>
    <row r="190" ht="25.5" spans="1:7">
      <c r="A190" s="13" t="s">
        <v>739</v>
      </c>
      <c r="B190" s="13"/>
      <c r="C190" s="13" t="s">
        <v>740</v>
      </c>
      <c r="D190" s="13" t="s">
        <v>741</v>
      </c>
      <c r="E190" s="14" t="s">
        <v>706</v>
      </c>
      <c r="F190" s="15">
        <v>0</v>
      </c>
      <c r="G190" s="15">
        <v>7237.5</v>
      </c>
    </row>
    <row r="191" ht="25.5" spans="1:7">
      <c r="A191" s="13" t="s">
        <v>742</v>
      </c>
      <c r="B191" s="13"/>
      <c r="C191" s="13" t="s">
        <v>743</v>
      </c>
      <c r="D191" s="13" t="s">
        <v>744</v>
      </c>
      <c r="E191" s="14" t="s">
        <v>314</v>
      </c>
      <c r="F191" s="15">
        <v>0</v>
      </c>
      <c r="G191" s="15">
        <v>10620</v>
      </c>
    </row>
    <row r="192" spans="1:7">
      <c r="A192" s="13" t="s">
        <v>745</v>
      </c>
      <c r="B192" s="13"/>
      <c r="C192" s="13" t="s">
        <v>746</v>
      </c>
      <c r="D192" s="13" t="s">
        <v>747</v>
      </c>
      <c r="E192" s="14" t="s">
        <v>126</v>
      </c>
      <c r="F192" s="15">
        <v>0</v>
      </c>
      <c r="G192" s="15">
        <v>1807.5</v>
      </c>
    </row>
    <row r="193" ht="25.5" spans="1:7">
      <c r="A193" s="13" t="s">
        <v>748</v>
      </c>
      <c r="B193" s="13" t="s">
        <v>749</v>
      </c>
      <c r="C193" s="13" t="s">
        <v>750</v>
      </c>
      <c r="D193" s="13" t="s">
        <v>751</v>
      </c>
      <c r="E193" s="14" t="s">
        <v>25</v>
      </c>
      <c r="F193" s="15">
        <v>1503750</v>
      </c>
      <c r="G193" s="15">
        <v>43717.5</v>
      </c>
    </row>
    <row r="194" ht="25.5" spans="1:7">
      <c r="A194" s="13" t="s">
        <v>752</v>
      </c>
      <c r="B194" s="13" t="s">
        <v>753</v>
      </c>
      <c r="C194" s="13" t="s">
        <v>754</v>
      </c>
      <c r="D194" s="13" t="s">
        <v>755</v>
      </c>
      <c r="E194" s="14" t="s">
        <v>720</v>
      </c>
      <c r="F194" s="15">
        <v>97050</v>
      </c>
      <c r="G194" s="15">
        <v>57540</v>
      </c>
    </row>
    <row r="195" spans="1:7">
      <c r="A195" s="13" t="s">
        <v>756</v>
      </c>
      <c r="B195" s="13" t="s">
        <v>757</v>
      </c>
      <c r="C195" s="13" t="s">
        <v>758</v>
      </c>
      <c r="D195" s="13" t="s">
        <v>759</v>
      </c>
      <c r="E195" s="14" t="s">
        <v>711</v>
      </c>
      <c r="F195" s="15">
        <v>123600</v>
      </c>
      <c r="G195" s="15">
        <v>40087.5</v>
      </c>
    </row>
    <row r="196" ht="25.5" spans="1:7">
      <c r="A196" s="13" t="s">
        <v>760</v>
      </c>
      <c r="B196" s="13"/>
      <c r="C196" s="13" t="s">
        <v>761</v>
      </c>
      <c r="D196" s="13" t="s">
        <v>762</v>
      </c>
      <c r="E196" s="14" t="s">
        <v>763</v>
      </c>
      <c r="F196" s="15">
        <v>0</v>
      </c>
      <c r="G196" s="15">
        <v>6727.5</v>
      </c>
    </row>
    <row r="197" ht="25.5" spans="1:7">
      <c r="A197" s="13" t="s">
        <v>764</v>
      </c>
      <c r="B197" s="13" t="s">
        <v>765</v>
      </c>
      <c r="C197" s="13" t="s">
        <v>766</v>
      </c>
      <c r="D197" s="13" t="s">
        <v>767</v>
      </c>
      <c r="E197" s="14" t="s">
        <v>711</v>
      </c>
      <c r="F197" s="15">
        <v>308475</v>
      </c>
      <c r="G197" s="15">
        <v>40185</v>
      </c>
    </row>
    <row r="198" ht="89.25" spans="1:7">
      <c r="A198" s="13" t="s">
        <v>768</v>
      </c>
      <c r="B198" s="13"/>
      <c r="C198" s="13" t="s">
        <v>769</v>
      </c>
      <c r="D198" s="13" t="s">
        <v>770</v>
      </c>
      <c r="E198" s="14" t="s">
        <v>225</v>
      </c>
      <c r="F198" s="15">
        <v>0</v>
      </c>
      <c r="G198" s="15">
        <v>6377250</v>
      </c>
    </row>
    <row r="199" ht="89.25" spans="1:7">
      <c r="A199" s="13" t="s">
        <v>771</v>
      </c>
      <c r="B199" s="13"/>
      <c r="C199" s="13" t="s">
        <v>772</v>
      </c>
      <c r="D199" s="13" t="s">
        <v>773</v>
      </c>
      <c r="E199" s="14" t="s">
        <v>225</v>
      </c>
      <c r="F199" s="15">
        <v>0</v>
      </c>
      <c r="G199" s="15">
        <v>6407250</v>
      </c>
    </row>
    <row r="200" ht="89.25" spans="1:7">
      <c r="A200" s="13" t="s">
        <v>774</v>
      </c>
      <c r="B200" s="13"/>
      <c r="C200" s="13" t="s">
        <v>775</v>
      </c>
      <c r="D200" s="13" t="s">
        <v>776</v>
      </c>
      <c r="E200" s="14" t="s">
        <v>225</v>
      </c>
      <c r="F200" s="15">
        <v>0</v>
      </c>
      <c r="G200" s="15">
        <v>5362500</v>
      </c>
    </row>
    <row r="201" ht="51" spans="1:7">
      <c r="A201" s="13" t="s">
        <v>777</v>
      </c>
      <c r="B201" s="13"/>
      <c r="C201" s="13" t="s">
        <v>778</v>
      </c>
      <c r="D201" s="13" t="s">
        <v>779</v>
      </c>
      <c r="E201" s="14" t="s">
        <v>225</v>
      </c>
      <c r="F201" s="15">
        <v>0</v>
      </c>
      <c r="G201" s="15">
        <v>189150</v>
      </c>
    </row>
    <row r="202" ht="51" spans="1:7">
      <c r="A202" s="13" t="s">
        <v>780</v>
      </c>
      <c r="B202" s="13"/>
      <c r="C202" s="13" t="s">
        <v>781</v>
      </c>
      <c r="D202" s="13" t="s">
        <v>782</v>
      </c>
      <c r="E202" s="14" t="s">
        <v>225</v>
      </c>
      <c r="F202" s="15">
        <v>0</v>
      </c>
      <c r="G202" s="15">
        <v>189150</v>
      </c>
    </row>
    <row r="203" ht="51" spans="1:7">
      <c r="A203" s="13" t="s">
        <v>783</v>
      </c>
      <c r="B203" s="13"/>
      <c r="C203" s="13" t="s">
        <v>784</v>
      </c>
      <c r="D203" s="13" t="s">
        <v>785</v>
      </c>
      <c r="E203" s="14" t="s">
        <v>225</v>
      </c>
      <c r="F203" s="15">
        <v>0</v>
      </c>
      <c r="G203" s="15">
        <v>189150</v>
      </c>
    </row>
    <row r="204" ht="51" spans="1:7">
      <c r="A204" s="13" t="s">
        <v>786</v>
      </c>
      <c r="B204" s="13"/>
      <c r="C204" s="13" t="s">
        <v>787</v>
      </c>
      <c r="D204" s="13" t="s">
        <v>788</v>
      </c>
      <c r="E204" s="14" t="s">
        <v>225</v>
      </c>
      <c r="F204" s="15">
        <v>0</v>
      </c>
      <c r="G204" s="15">
        <v>189150</v>
      </c>
    </row>
    <row r="205" ht="51" spans="1:7">
      <c r="A205" s="13" t="s">
        <v>789</v>
      </c>
      <c r="B205" s="13"/>
      <c r="C205" s="13" t="s">
        <v>790</v>
      </c>
      <c r="D205" s="13" t="s">
        <v>791</v>
      </c>
      <c r="E205" s="14" t="s">
        <v>225</v>
      </c>
      <c r="F205" s="15">
        <v>0</v>
      </c>
      <c r="G205" s="15">
        <v>189150</v>
      </c>
    </row>
    <row r="206" ht="51" spans="1:7">
      <c r="A206" s="13" t="s">
        <v>792</v>
      </c>
      <c r="B206" s="13"/>
      <c r="C206" s="13" t="s">
        <v>793</v>
      </c>
      <c r="D206" s="13" t="s">
        <v>794</v>
      </c>
      <c r="E206" s="14" t="s">
        <v>225</v>
      </c>
      <c r="F206" s="15">
        <v>0</v>
      </c>
      <c r="G206" s="15">
        <v>189150</v>
      </c>
    </row>
    <row r="207" ht="76.5" spans="1:7">
      <c r="A207" s="13" t="s">
        <v>795</v>
      </c>
      <c r="B207" s="13"/>
      <c r="C207" s="13" t="s">
        <v>796</v>
      </c>
      <c r="D207" s="13" t="s">
        <v>797</v>
      </c>
      <c r="E207" s="14" t="s">
        <v>225</v>
      </c>
      <c r="F207" s="15">
        <v>0</v>
      </c>
      <c r="G207" s="15">
        <v>189150</v>
      </c>
    </row>
    <row r="208" ht="76.5" spans="1:7">
      <c r="A208" s="13" t="s">
        <v>798</v>
      </c>
      <c r="B208" s="13"/>
      <c r="C208" s="13" t="s">
        <v>799</v>
      </c>
      <c r="D208" s="13" t="s">
        <v>800</v>
      </c>
      <c r="E208" s="14" t="s">
        <v>225</v>
      </c>
      <c r="F208" s="15">
        <v>0</v>
      </c>
      <c r="G208" s="15">
        <v>189150</v>
      </c>
    </row>
    <row r="209" ht="38.25" spans="1:7">
      <c r="A209" s="13" t="s">
        <v>801</v>
      </c>
      <c r="B209" s="13"/>
      <c r="C209" s="13" t="s">
        <v>802</v>
      </c>
      <c r="D209" s="13" t="s">
        <v>803</v>
      </c>
      <c r="E209" s="14" t="s">
        <v>225</v>
      </c>
      <c r="F209" s="15">
        <v>0</v>
      </c>
      <c r="G209" s="15">
        <v>189150</v>
      </c>
    </row>
    <row r="210" ht="38.25" spans="1:7">
      <c r="A210" s="13" t="s">
        <v>804</v>
      </c>
      <c r="B210" s="13"/>
      <c r="C210" s="13" t="s">
        <v>805</v>
      </c>
      <c r="D210" s="13" t="s">
        <v>806</v>
      </c>
      <c r="E210" s="14" t="s">
        <v>225</v>
      </c>
      <c r="F210" s="15">
        <v>0</v>
      </c>
      <c r="G210" s="15">
        <v>189150</v>
      </c>
    </row>
    <row r="211" ht="51" spans="1:7">
      <c r="A211" s="13" t="s">
        <v>807</v>
      </c>
      <c r="B211" s="13" t="s">
        <v>808</v>
      </c>
      <c r="C211" s="13" t="s">
        <v>809</v>
      </c>
      <c r="D211" s="13" t="s">
        <v>810</v>
      </c>
      <c r="E211" s="14" t="s">
        <v>126</v>
      </c>
      <c r="F211" s="15">
        <v>144525</v>
      </c>
      <c r="G211" s="15">
        <v>113775</v>
      </c>
    </row>
    <row r="212" ht="51" spans="1:7">
      <c r="A212" s="13" t="s">
        <v>811</v>
      </c>
      <c r="B212" s="13" t="s">
        <v>812</v>
      </c>
      <c r="C212" s="13" t="s">
        <v>813</v>
      </c>
      <c r="D212" s="13" t="s">
        <v>814</v>
      </c>
      <c r="E212" s="14" t="s">
        <v>126</v>
      </c>
      <c r="F212" s="15">
        <v>477975</v>
      </c>
      <c r="G212" s="15">
        <v>282375</v>
      </c>
    </row>
    <row r="213" ht="38.25" spans="1:7">
      <c r="A213" s="13" t="s">
        <v>815</v>
      </c>
      <c r="B213" s="13" t="s">
        <v>816</v>
      </c>
      <c r="C213" s="13" t="s">
        <v>817</v>
      </c>
      <c r="D213" s="13" t="s">
        <v>818</v>
      </c>
      <c r="E213" s="14" t="s">
        <v>126</v>
      </c>
      <c r="F213" s="15">
        <v>1440000</v>
      </c>
      <c r="G213" s="15">
        <v>327375</v>
      </c>
    </row>
    <row r="214" ht="25.5" spans="1:7">
      <c r="A214" s="13" t="s">
        <v>819</v>
      </c>
      <c r="B214" s="13" t="s">
        <v>820</v>
      </c>
      <c r="C214" s="13" t="s">
        <v>821</v>
      </c>
      <c r="D214" s="13" t="s">
        <v>822</v>
      </c>
      <c r="E214" s="14" t="s">
        <v>25</v>
      </c>
      <c r="F214" s="15">
        <v>15000</v>
      </c>
      <c r="G214" s="15">
        <v>1440</v>
      </c>
    </row>
    <row r="215" ht="25.5" spans="1:7">
      <c r="A215" s="13" t="s">
        <v>823</v>
      </c>
      <c r="B215" s="13" t="s">
        <v>824</v>
      </c>
      <c r="C215" s="13" t="s">
        <v>825</v>
      </c>
      <c r="D215" s="13" t="s">
        <v>826</v>
      </c>
      <c r="E215" s="14" t="s">
        <v>215</v>
      </c>
      <c r="F215" s="15">
        <v>1062750</v>
      </c>
      <c r="G215" s="15">
        <v>301875</v>
      </c>
    </row>
    <row r="216" ht="25.5" spans="1:7">
      <c r="A216" s="13" t="s">
        <v>827</v>
      </c>
      <c r="B216" s="13" t="s">
        <v>828</v>
      </c>
      <c r="C216" s="13" t="s">
        <v>829</v>
      </c>
      <c r="D216" s="13" t="s">
        <v>830</v>
      </c>
      <c r="E216" s="14" t="s">
        <v>215</v>
      </c>
      <c r="F216" s="15">
        <v>1662750</v>
      </c>
      <c r="G216" s="15">
        <v>301875</v>
      </c>
    </row>
    <row r="217" ht="25.5" spans="1:7">
      <c r="A217" s="13" t="s">
        <v>831</v>
      </c>
      <c r="B217" s="13" t="s">
        <v>832</v>
      </c>
      <c r="C217" s="13" t="s">
        <v>833</v>
      </c>
      <c r="D217" s="13" t="s">
        <v>834</v>
      </c>
      <c r="E217" s="14" t="s">
        <v>126</v>
      </c>
      <c r="F217" s="15">
        <v>162750</v>
      </c>
      <c r="G217" s="15">
        <v>42007.5</v>
      </c>
    </row>
    <row r="218" ht="25.5" spans="1:7">
      <c r="A218" s="13" t="s">
        <v>835</v>
      </c>
      <c r="B218" s="13" t="s">
        <v>836</v>
      </c>
      <c r="C218" s="13" t="s">
        <v>837</v>
      </c>
      <c r="D218" s="13" t="s">
        <v>838</v>
      </c>
      <c r="E218" s="14" t="s">
        <v>225</v>
      </c>
      <c r="F218" s="15">
        <v>3705</v>
      </c>
      <c r="G218" s="15">
        <v>8730</v>
      </c>
    </row>
    <row r="219" ht="51" spans="1:7">
      <c r="A219" s="13" t="s">
        <v>839</v>
      </c>
      <c r="B219" s="13" t="s">
        <v>840</v>
      </c>
      <c r="C219" s="13" t="s">
        <v>841</v>
      </c>
      <c r="D219" s="13" t="s">
        <v>842</v>
      </c>
      <c r="E219" s="14" t="s">
        <v>151</v>
      </c>
      <c r="F219" s="15">
        <v>273600</v>
      </c>
      <c r="G219" s="15">
        <v>32092.5</v>
      </c>
    </row>
    <row r="220" ht="51" spans="1:7">
      <c r="A220" s="13" t="s">
        <v>843</v>
      </c>
      <c r="B220" s="13" t="s">
        <v>844</v>
      </c>
      <c r="C220" s="13" t="s">
        <v>845</v>
      </c>
      <c r="D220" s="13" t="s">
        <v>846</v>
      </c>
      <c r="E220" s="14" t="s">
        <v>25</v>
      </c>
      <c r="F220" s="15">
        <v>80700</v>
      </c>
      <c r="G220" s="15">
        <v>26745</v>
      </c>
    </row>
    <row r="221" ht="51" spans="1:7">
      <c r="A221" s="13" t="s">
        <v>847</v>
      </c>
      <c r="B221" s="13" t="s">
        <v>848</v>
      </c>
      <c r="C221" s="13" t="s">
        <v>849</v>
      </c>
      <c r="D221" s="13" t="s">
        <v>850</v>
      </c>
      <c r="E221" s="14" t="s">
        <v>25</v>
      </c>
      <c r="F221" s="15">
        <v>166275</v>
      </c>
      <c r="G221" s="15">
        <v>32092.5</v>
      </c>
    </row>
    <row r="222" ht="51" spans="1:7">
      <c r="A222" s="13" t="s">
        <v>851</v>
      </c>
      <c r="B222" s="13" t="s">
        <v>852</v>
      </c>
      <c r="C222" s="13" t="s">
        <v>853</v>
      </c>
      <c r="D222" s="13" t="s">
        <v>854</v>
      </c>
      <c r="E222" s="14" t="s">
        <v>25</v>
      </c>
      <c r="F222" s="15">
        <v>321900</v>
      </c>
      <c r="G222" s="15">
        <v>37447.5</v>
      </c>
    </row>
    <row r="223" ht="51" spans="1:7">
      <c r="A223" s="13" t="s">
        <v>855</v>
      </c>
      <c r="B223" s="13" t="s">
        <v>856</v>
      </c>
      <c r="C223" s="13" t="s">
        <v>857</v>
      </c>
      <c r="D223" s="13" t="s">
        <v>858</v>
      </c>
      <c r="E223" s="14" t="s">
        <v>126</v>
      </c>
      <c r="F223" s="15">
        <v>822000</v>
      </c>
      <c r="G223" s="15">
        <v>458025</v>
      </c>
    </row>
    <row r="224" ht="76.5" spans="1:7">
      <c r="A224" s="13" t="s">
        <v>859</v>
      </c>
      <c r="B224" s="13" t="s">
        <v>860</v>
      </c>
      <c r="C224" s="13" t="s">
        <v>861</v>
      </c>
      <c r="D224" s="13" t="s">
        <v>862</v>
      </c>
      <c r="E224" s="14" t="s">
        <v>215</v>
      </c>
      <c r="F224" s="15">
        <v>1226250</v>
      </c>
      <c r="G224" s="15">
        <v>254625</v>
      </c>
    </row>
    <row r="225" ht="76.5" spans="1:7">
      <c r="A225" s="13" t="s">
        <v>863</v>
      </c>
      <c r="B225" s="13" t="s">
        <v>864</v>
      </c>
      <c r="C225" s="13" t="s">
        <v>865</v>
      </c>
      <c r="D225" s="13" t="s">
        <v>866</v>
      </c>
      <c r="E225" s="14" t="s">
        <v>215</v>
      </c>
      <c r="F225" s="15">
        <v>841500</v>
      </c>
      <c r="G225" s="15">
        <v>225525</v>
      </c>
    </row>
    <row r="226" ht="38.25" spans="1:7">
      <c r="A226" s="13" t="s">
        <v>867</v>
      </c>
      <c r="B226" s="13" t="s">
        <v>868</v>
      </c>
      <c r="C226" s="13" t="s">
        <v>869</v>
      </c>
      <c r="D226" s="13" t="s">
        <v>870</v>
      </c>
      <c r="E226" s="14" t="s">
        <v>126</v>
      </c>
      <c r="F226" s="15">
        <v>436725</v>
      </c>
      <c r="G226" s="15">
        <v>126825</v>
      </c>
    </row>
    <row r="227" ht="38.25" spans="1:7">
      <c r="A227" s="13" t="s">
        <v>871</v>
      </c>
      <c r="B227" s="13" t="s">
        <v>872</v>
      </c>
      <c r="C227" s="13" t="s">
        <v>873</v>
      </c>
      <c r="D227" s="13" t="s">
        <v>874</v>
      </c>
      <c r="E227" s="14" t="s">
        <v>126</v>
      </c>
      <c r="F227" s="15">
        <v>5046750</v>
      </c>
      <c r="G227" s="15">
        <v>356925</v>
      </c>
    </row>
    <row r="228" ht="38.25" spans="1:7">
      <c r="A228" s="13" t="s">
        <v>875</v>
      </c>
      <c r="B228" s="13" t="s">
        <v>876</v>
      </c>
      <c r="C228" s="13" t="s">
        <v>877</v>
      </c>
      <c r="D228" s="13" t="s">
        <v>878</v>
      </c>
      <c r="E228" s="14" t="s">
        <v>126</v>
      </c>
      <c r="F228" s="15">
        <v>1065750</v>
      </c>
      <c r="G228" s="15">
        <v>189150</v>
      </c>
    </row>
    <row r="229" ht="51" spans="1:7">
      <c r="A229" s="13" t="s">
        <v>879</v>
      </c>
      <c r="B229" s="13" t="s">
        <v>880</v>
      </c>
      <c r="C229" s="13" t="s">
        <v>881</v>
      </c>
      <c r="D229" s="13" t="s">
        <v>882</v>
      </c>
      <c r="E229" s="14" t="s">
        <v>25</v>
      </c>
      <c r="F229" s="15">
        <v>16410</v>
      </c>
      <c r="G229" s="15">
        <v>7275</v>
      </c>
    </row>
    <row r="230" ht="51" spans="1:7">
      <c r="A230" s="13" t="s">
        <v>883</v>
      </c>
      <c r="B230" s="13"/>
      <c r="C230" s="13" t="s">
        <v>883</v>
      </c>
      <c r="D230" s="13" t="s">
        <v>884</v>
      </c>
      <c r="E230" s="14" t="s">
        <v>885</v>
      </c>
      <c r="F230" s="15">
        <v>0</v>
      </c>
      <c r="G230" s="15">
        <v>285</v>
      </c>
    </row>
    <row r="231" ht="76.5" spans="1:7">
      <c r="A231" s="13" t="s">
        <v>886</v>
      </c>
      <c r="B231" s="13" t="s">
        <v>887</v>
      </c>
      <c r="C231" s="13" t="s">
        <v>888</v>
      </c>
      <c r="D231" s="13" t="s">
        <v>889</v>
      </c>
      <c r="E231" s="14" t="s">
        <v>126</v>
      </c>
      <c r="F231" s="15">
        <v>7335</v>
      </c>
      <c r="G231" s="15">
        <v>1455</v>
      </c>
    </row>
    <row r="232" ht="63.75" spans="1:7">
      <c r="A232" s="13" t="s">
        <v>890</v>
      </c>
      <c r="B232" s="13" t="s">
        <v>891</v>
      </c>
      <c r="C232" s="13" t="s">
        <v>892</v>
      </c>
      <c r="D232" s="13" t="s">
        <v>893</v>
      </c>
      <c r="E232" s="14" t="s">
        <v>126</v>
      </c>
      <c r="F232" s="15">
        <v>6892.5</v>
      </c>
      <c r="G232" s="15">
        <v>1672.5</v>
      </c>
    </row>
    <row r="233" spans="1:7">
      <c r="A233" s="13" t="s">
        <v>894</v>
      </c>
      <c r="B233" s="13" t="s">
        <v>895</v>
      </c>
      <c r="C233" s="13" t="s">
        <v>896</v>
      </c>
      <c r="D233" s="13" t="s">
        <v>897</v>
      </c>
      <c r="E233" s="14" t="s">
        <v>126</v>
      </c>
      <c r="F233" s="15">
        <v>229500</v>
      </c>
      <c r="G233" s="15">
        <v>75000</v>
      </c>
    </row>
    <row r="234" ht="51" spans="1:7">
      <c r="A234" s="13" t="s">
        <v>898</v>
      </c>
      <c r="B234" s="13" t="s">
        <v>899</v>
      </c>
      <c r="C234" s="13" t="s">
        <v>900</v>
      </c>
      <c r="D234" s="13" t="s">
        <v>901</v>
      </c>
      <c r="E234" s="14" t="s">
        <v>126</v>
      </c>
      <c r="F234" s="15">
        <v>10320</v>
      </c>
      <c r="G234" s="15">
        <v>3645</v>
      </c>
    </row>
    <row r="235" spans="1:7">
      <c r="A235" s="13" t="s">
        <v>902</v>
      </c>
      <c r="B235" s="13" t="s">
        <v>903</v>
      </c>
      <c r="C235" s="13" t="s">
        <v>904</v>
      </c>
      <c r="D235" s="13" t="s">
        <v>905</v>
      </c>
      <c r="E235" s="14" t="s">
        <v>215</v>
      </c>
      <c r="F235" s="15">
        <v>487350</v>
      </c>
      <c r="G235" s="15">
        <v>494700</v>
      </c>
    </row>
    <row r="236" ht="25.5" spans="1:7">
      <c r="A236" s="13" t="s">
        <v>906</v>
      </c>
      <c r="B236" s="13" t="s">
        <v>907</v>
      </c>
      <c r="C236" s="13" t="s">
        <v>908</v>
      </c>
      <c r="D236" s="13" t="s">
        <v>909</v>
      </c>
      <c r="E236" s="14" t="s">
        <v>126</v>
      </c>
      <c r="F236" s="15">
        <v>486975</v>
      </c>
      <c r="G236" s="15">
        <v>494700</v>
      </c>
    </row>
    <row r="237" ht="51" spans="1:7">
      <c r="A237" s="13" t="s">
        <v>910</v>
      </c>
      <c r="B237" s="13" t="s">
        <v>911</v>
      </c>
      <c r="C237" s="13" t="s">
        <v>912</v>
      </c>
      <c r="D237" s="13" t="s">
        <v>913</v>
      </c>
      <c r="E237" s="14" t="s">
        <v>126</v>
      </c>
      <c r="F237" s="15">
        <v>3482250</v>
      </c>
      <c r="G237" s="15">
        <v>1878000</v>
      </c>
    </row>
    <row r="238" ht="51" spans="1:7">
      <c r="A238" s="13" t="s">
        <v>914</v>
      </c>
      <c r="B238" s="13" t="s">
        <v>915</v>
      </c>
      <c r="C238" s="13" t="s">
        <v>916</v>
      </c>
      <c r="D238" s="13" t="s">
        <v>917</v>
      </c>
      <c r="E238" s="14" t="s">
        <v>126</v>
      </c>
      <c r="F238" s="15">
        <v>2436000</v>
      </c>
      <c r="G238" s="15">
        <v>1429500</v>
      </c>
    </row>
    <row r="239" ht="25.5" spans="1:7">
      <c r="A239" s="13" t="s">
        <v>918</v>
      </c>
      <c r="B239" s="13"/>
      <c r="C239" s="13" t="s">
        <v>919</v>
      </c>
      <c r="D239" s="13" t="s">
        <v>920</v>
      </c>
      <c r="E239" s="14" t="s">
        <v>664</v>
      </c>
      <c r="F239" s="15">
        <v>0</v>
      </c>
      <c r="G239" s="15">
        <v>15150</v>
      </c>
    </row>
    <row r="240" ht="25.5" spans="1:7">
      <c r="A240" s="13" t="s">
        <v>921</v>
      </c>
      <c r="B240" s="13"/>
      <c r="C240" s="13" t="s">
        <v>922</v>
      </c>
      <c r="D240" s="13" t="s">
        <v>923</v>
      </c>
      <c r="E240" s="14" t="s">
        <v>664</v>
      </c>
      <c r="F240" s="15">
        <v>0</v>
      </c>
      <c r="G240" s="15">
        <v>18967.5</v>
      </c>
    </row>
    <row r="241" ht="25.5" spans="1:7">
      <c r="A241" s="13" t="s">
        <v>924</v>
      </c>
      <c r="B241" s="13" t="s">
        <v>925</v>
      </c>
      <c r="C241" s="13" t="s">
        <v>926</v>
      </c>
      <c r="D241" s="13" t="s">
        <v>927</v>
      </c>
      <c r="E241" s="14" t="s">
        <v>928</v>
      </c>
      <c r="F241" s="15">
        <v>213675</v>
      </c>
      <c r="G241" s="15">
        <v>15667.5</v>
      </c>
    </row>
    <row r="242" ht="38.25" spans="1:7">
      <c r="A242" s="13" t="s">
        <v>929</v>
      </c>
      <c r="B242" s="13"/>
      <c r="C242" s="13" t="s">
        <v>930</v>
      </c>
      <c r="D242" s="13" t="s">
        <v>931</v>
      </c>
      <c r="E242" s="14" t="s">
        <v>135</v>
      </c>
      <c r="F242" s="15">
        <v>0</v>
      </c>
      <c r="G242" s="15">
        <v>8070</v>
      </c>
    </row>
    <row r="243" ht="25.5" spans="1:7">
      <c r="A243" s="13" t="s">
        <v>932</v>
      </c>
      <c r="B243" s="13"/>
      <c r="C243" s="13" t="s">
        <v>933</v>
      </c>
      <c r="D243" s="13" t="s">
        <v>934</v>
      </c>
      <c r="E243" s="14" t="s">
        <v>928</v>
      </c>
      <c r="F243" s="15">
        <v>0</v>
      </c>
      <c r="G243" s="15">
        <v>7237.5</v>
      </c>
    </row>
    <row r="244" ht="25.5" spans="1:7">
      <c r="A244" s="13" t="s">
        <v>935</v>
      </c>
      <c r="B244" s="13"/>
      <c r="C244" s="13" t="s">
        <v>936</v>
      </c>
      <c r="D244" s="13" t="s">
        <v>937</v>
      </c>
      <c r="E244" s="14" t="s">
        <v>648</v>
      </c>
      <c r="F244" s="15">
        <v>0</v>
      </c>
      <c r="G244" s="15">
        <v>7237.5</v>
      </c>
    </row>
    <row r="245" ht="25.5" spans="1:7">
      <c r="A245" s="13" t="s">
        <v>938</v>
      </c>
      <c r="B245" s="13"/>
      <c r="C245" s="13" t="s">
        <v>939</v>
      </c>
      <c r="D245" s="13" t="s">
        <v>940</v>
      </c>
      <c r="E245" s="14" t="s">
        <v>941</v>
      </c>
      <c r="F245" s="15">
        <v>0</v>
      </c>
      <c r="G245" s="15">
        <v>28207.5</v>
      </c>
    </row>
    <row r="246" ht="76.5" spans="1:7">
      <c r="A246" s="13" t="s">
        <v>942</v>
      </c>
      <c r="B246" s="13"/>
      <c r="C246" s="13" t="s">
        <v>943</v>
      </c>
      <c r="D246" s="13" t="s">
        <v>944</v>
      </c>
      <c r="E246" s="14" t="s">
        <v>215</v>
      </c>
      <c r="F246" s="15">
        <v>0</v>
      </c>
      <c r="G246" s="15">
        <v>2473500</v>
      </c>
    </row>
    <row r="247" ht="38.25" spans="1:7">
      <c r="A247" s="13" t="s">
        <v>945</v>
      </c>
      <c r="B247" s="13"/>
      <c r="C247" s="13" t="s">
        <v>946</v>
      </c>
      <c r="D247" s="13" t="s">
        <v>947</v>
      </c>
      <c r="E247" s="14" t="s">
        <v>928</v>
      </c>
      <c r="F247" s="15">
        <v>0</v>
      </c>
      <c r="G247" s="15">
        <v>21937.5</v>
      </c>
    </row>
    <row r="248" ht="25.5" spans="1:7">
      <c r="A248" s="13" t="s">
        <v>948</v>
      </c>
      <c r="B248" s="13" t="s">
        <v>949</v>
      </c>
      <c r="C248" s="13" t="s">
        <v>950</v>
      </c>
      <c r="D248" s="13" t="s">
        <v>951</v>
      </c>
      <c r="E248" s="14" t="s">
        <v>215</v>
      </c>
      <c r="F248" s="15">
        <v>120</v>
      </c>
      <c r="G248" s="15">
        <v>22.5</v>
      </c>
    </row>
    <row r="249" ht="25.5" spans="1:7">
      <c r="A249" s="13" t="s">
        <v>952</v>
      </c>
      <c r="B249" s="13"/>
      <c r="C249" s="13" t="s">
        <v>953</v>
      </c>
      <c r="D249" s="13" t="s">
        <v>954</v>
      </c>
      <c r="E249" s="14" t="s">
        <v>215</v>
      </c>
      <c r="F249" s="15">
        <v>0</v>
      </c>
      <c r="G249" s="15">
        <v>7680</v>
      </c>
    </row>
    <row r="250" ht="89.25" spans="1:7">
      <c r="A250" s="13" t="s">
        <v>955</v>
      </c>
      <c r="B250" s="13"/>
      <c r="C250" s="13" t="s">
        <v>956</v>
      </c>
      <c r="D250" s="13" t="s">
        <v>957</v>
      </c>
      <c r="E250" s="14" t="s">
        <v>215</v>
      </c>
      <c r="F250" s="15">
        <v>0</v>
      </c>
      <c r="G250" s="15">
        <v>93975</v>
      </c>
    </row>
    <row r="251" ht="25.5" spans="1:7">
      <c r="A251" s="13" t="s">
        <v>958</v>
      </c>
      <c r="B251" s="13"/>
      <c r="C251" s="13" t="s">
        <v>959</v>
      </c>
      <c r="D251" s="13" t="s">
        <v>727</v>
      </c>
      <c r="E251" s="14" t="s">
        <v>202</v>
      </c>
      <c r="F251" s="15">
        <v>0</v>
      </c>
      <c r="G251" s="15">
        <v>26527.5</v>
      </c>
    </row>
    <row r="252" ht="25.5" spans="1:7">
      <c r="A252" s="13" t="s">
        <v>960</v>
      </c>
      <c r="B252" s="13"/>
      <c r="C252" s="13" t="s">
        <v>961</v>
      </c>
      <c r="D252" s="13" t="s">
        <v>962</v>
      </c>
      <c r="E252" s="14" t="s">
        <v>215</v>
      </c>
      <c r="F252" s="15">
        <v>0</v>
      </c>
      <c r="G252" s="15">
        <v>7687.5</v>
      </c>
    </row>
    <row r="253" spans="1:7">
      <c r="A253" s="13" t="s">
        <v>963</v>
      </c>
      <c r="B253" s="13"/>
      <c r="C253" s="13" t="s">
        <v>964</v>
      </c>
      <c r="D253" s="13" t="s">
        <v>730</v>
      </c>
      <c r="E253" s="14" t="s">
        <v>314</v>
      </c>
      <c r="F253" s="15">
        <v>0</v>
      </c>
      <c r="G253" s="15">
        <v>1650</v>
      </c>
    </row>
    <row r="254" ht="89.25" spans="1:7">
      <c r="A254" s="13" t="s">
        <v>965</v>
      </c>
      <c r="B254" s="13"/>
      <c r="C254" s="13" t="s">
        <v>966</v>
      </c>
      <c r="D254" s="13" t="s">
        <v>967</v>
      </c>
      <c r="E254" s="14" t="s">
        <v>215</v>
      </c>
      <c r="F254" s="15">
        <v>0</v>
      </c>
      <c r="G254" s="15">
        <v>59557.5</v>
      </c>
    </row>
    <row r="255" spans="1:7">
      <c r="A255" s="13" t="s">
        <v>968</v>
      </c>
      <c r="B255" s="13"/>
      <c r="C255" s="13" t="s">
        <v>969</v>
      </c>
      <c r="D255" s="13" t="s">
        <v>747</v>
      </c>
      <c r="E255" s="14" t="s">
        <v>151</v>
      </c>
      <c r="F255" s="15">
        <v>0</v>
      </c>
      <c r="G255" s="15">
        <v>1807.5</v>
      </c>
    </row>
    <row r="256" ht="25.5" spans="1:7">
      <c r="A256" s="13" t="s">
        <v>970</v>
      </c>
      <c r="B256" s="13"/>
      <c r="C256" s="13" t="s">
        <v>971</v>
      </c>
      <c r="D256" s="13" t="s">
        <v>972</v>
      </c>
      <c r="E256" s="14" t="s">
        <v>648</v>
      </c>
      <c r="F256" s="15">
        <v>0</v>
      </c>
      <c r="G256" s="15">
        <v>21937.5</v>
      </c>
    </row>
    <row r="257" ht="25.5" spans="1:7">
      <c r="A257" s="13" t="s">
        <v>973</v>
      </c>
      <c r="B257" s="13"/>
      <c r="C257" s="13" t="s">
        <v>974</v>
      </c>
      <c r="D257" s="13" t="s">
        <v>975</v>
      </c>
      <c r="E257" s="14" t="s">
        <v>215</v>
      </c>
      <c r="F257" s="15">
        <v>0</v>
      </c>
      <c r="G257" s="15">
        <v>158175</v>
      </c>
    </row>
    <row r="258" ht="38.25" spans="1:7">
      <c r="A258" s="13" t="s">
        <v>976</v>
      </c>
      <c r="B258" s="13" t="s">
        <v>977</v>
      </c>
      <c r="C258" s="13" t="s">
        <v>978</v>
      </c>
      <c r="D258" s="13" t="s">
        <v>979</v>
      </c>
      <c r="E258" s="14" t="s">
        <v>215</v>
      </c>
      <c r="F258" s="15">
        <v>660450</v>
      </c>
      <c r="G258" s="15">
        <v>68962.5</v>
      </c>
    </row>
    <row r="259" ht="38.25" spans="1:7">
      <c r="A259" s="13" t="s">
        <v>980</v>
      </c>
      <c r="B259" s="13" t="s">
        <v>981</v>
      </c>
      <c r="C259" s="13" t="s">
        <v>982</v>
      </c>
      <c r="D259" s="13" t="s">
        <v>983</v>
      </c>
      <c r="E259" s="14" t="s">
        <v>215</v>
      </c>
      <c r="F259" s="15">
        <v>1260750</v>
      </c>
      <c r="G259" s="15">
        <v>80925</v>
      </c>
    </row>
    <row r="260" ht="38.25" spans="1:7">
      <c r="A260" s="13" t="s">
        <v>984</v>
      </c>
      <c r="B260" s="13" t="s">
        <v>985</v>
      </c>
      <c r="C260" s="13" t="s">
        <v>986</v>
      </c>
      <c r="D260" s="13" t="s">
        <v>987</v>
      </c>
      <c r="E260" s="14" t="s">
        <v>215</v>
      </c>
      <c r="F260" s="15">
        <v>805500</v>
      </c>
      <c r="G260" s="15">
        <v>68962.5</v>
      </c>
    </row>
    <row r="261" ht="25.5" spans="1:7">
      <c r="A261" s="13" t="s">
        <v>988</v>
      </c>
      <c r="B261" s="13"/>
      <c r="C261" s="13" t="s">
        <v>989</v>
      </c>
      <c r="D261" s="13" t="s">
        <v>990</v>
      </c>
      <c r="E261" s="14" t="s">
        <v>928</v>
      </c>
      <c r="F261" s="15">
        <v>0</v>
      </c>
      <c r="G261" s="15">
        <v>7237.5</v>
      </c>
    </row>
    <row r="262" ht="114.75" spans="1:7">
      <c r="A262" s="13" t="s">
        <v>991</v>
      </c>
      <c r="B262" s="13" t="s">
        <v>992</v>
      </c>
      <c r="C262" s="13" t="s">
        <v>993</v>
      </c>
      <c r="D262" s="13" t="s">
        <v>994</v>
      </c>
      <c r="E262" s="14" t="s">
        <v>151</v>
      </c>
      <c r="F262" s="15">
        <v>12202.5</v>
      </c>
      <c r="G262" s="15">
        <v>2617.5</v>
      </c>
    </row>
    <row r="263" ht="25.5" spans="1:7">
      <c r="A263" s="13" t="s">
        <v>995</v>
      </c>
      <c r="B263" s="13" t="s">
        <v>996</v>
      </c>
      <c r="C263" s="13" t="s">
        <v>997</v>
      </c>
      <c r="D263" s="13" t="s">
        <v>998</v>
      </c>
      <c r="E263" s="14" t="s">
        <v>928</v>
      </c>
      <c r="F263" s="15">
        <v>152625</v>
      </c>
      <c r="G263" s="15">
        <v>15667.5</v>
      </c>
    </row>
    <row r="264" ht="102" spans="1:7">
      <c r="A264" s="13" t="s">
        <v>999</v>
      </c>
      <c r="B264" s="13" t="s">
        <v>1000</v>
      </c>
      <c r="C264" s="13" t="s">
        <v>1001</v>
      </c>
      <c r="D264" s="13" t="s">
        <v>1002</v>
      </c>
      <c r="E264" s="14" t="s">
        <v>126</v>
      </c>
      <c r="F264" s="15">
        <v>6639750</v>
      </c>
      <c r="G264" s="15">
        <v>3903750</v>
      </c>
    </row>
    <row r="265" ht="204" spans="1:7">
      <c r="A265" s="13" t="s">
        <v>1003</v>
      </c>
      <c r="B265" s="13" t="s">
        <v>1004</v>
      </c>
      <c r="C265" s="13" t="s">
        <v>1005</v>
      </c>
      <c r="D265" s="13" t="s">
        <v>1006</v>
      </c>
      <c r="E265" s="14" t="s">
        <v>220</v>
      </c>
      <c r="F265" s="15">
        <v>17677500</v>
      </c>
      <c r="G265" s="15">
        <v>6339000</v>
      </c>
    </row>
    <row r="266" ht="191.25" spans="1:7">
      <c r="A266" s="13" t="s">
        <v>1007</v>
      </c>
      <c r="B266" s="13" t="s">
        <v>1008</v>
      </c>
      <c r="C266" s="13" t="s">
        <v>1009</v>
      </c>
      <c r="D266" s="13" t="s">
        <v>1010</v>
      </c>
      <c r="E266" s="14" t="s">
        <v>220</v>
      </c>
      <c r="F266" s="15">
        <v>11985000</v>
      </c>
      <c r="G266" s="15">
        <v>5973000</v>
      </c>
    </row>
    <row r="267" ht="102" spans="1:7">
      <c r="A267" s="13" t="s">
        <v>1011</v>
      </c>
      <c r="B267" s="13" t="s">
        <v>1012</v>
      </c>
      <c r="C267" s="13" t="s">
        <v>1013</v>
      </c>
      <c r="D267" s="13" t="s">
        <v>1014</v>
      </c>
      <c r="E267" s="14" t="s">
        <v>126</v>
      </c>
      <c r="F267" s="15">
        <v>12615000</v>
      </c>
      <c r="G267" s="15">
        <v>3933750</v>
      </c>
    </row>
    <row r="268" ht="204" spans="1:7">
      <c r="A268" s="13" t="s">
        <v>1015</v>
      </c>
      <c r="B268" s="13" t="s">
        <v>1016</v>
      </c>
      <c r="C268" s="13" t="s">
        <v>1017</v>
      </c>
      <c r="D268" s="13" t="s">
        <v>1018</v>
      </c>
      <c r="E268" s="14" t="s">
        <v>220</v>
      </c>
      <c r="F268" s="15">
        <v>23955000</v>
      </c>
      <c r="G268" s="15">
        <v>6369000</v>
      </c>
    </row>
    <row r="269" ht="191.25" spans="1:7">
      <c r="A269" s="13" t="s">
        <v>1019</v>
      </c>
      <c r="B269" s="13" t="s">
        <v>1020</v>
      </c>
      <c r="C269" s="13" t="s">
        <v>1021</v>
      </c>
      <c r="D269" s="13" t="s">
        <v>1022</v>
      </c>
      <c r="E269" s="14" t="s">
        <v>220</v>
      </c>
      <c r="F269" s="15">
        <v>18262500</v>
      </c>
      <c r="G269" s="15">
        <v>6002250</v>
      </c>
    </row>
    <row r="270" ht="63.75" spans="1:7">
      <c r="A270" s="13" t="s">
        <v>1023</v>
      </c>
      <c r="B270" s="13" t="s">
        <v>1024</v>
      </c>
      <c r="C270" s="13" t="s">
        <v>1025</v>
      </c>
      <c r="D270" s="13" t="s">
        <v>1026</v>
      </c>
      <c r="E270" s="14" t="s">
        <v>126</v>
      </c>
      <c r="F270" s="15">
        <v>2238000</v>
      </c>
      <c r="G270" s="15">
        <v>2889000</v>
      </c>
    </row>
    <row r="271" ht="102" spans="1:7">
      <c r="A271" s="13" t="s">
        <v>1027</v>
      </c>
      <c r="B271" s="13" t="s">
        <v>1028</v>
      </c>
      <c r="C271" s="13" t="s">
        <v>1029</v>
      </c>
      <c r="D271" s="13" t="s">
        <v>1030</v>
      </c>
      <c r="E271" s="14" t="s">
        <v>126</v>
      </c>
      <c r="F271" s="15">
        <v>29535000</v>
      </c>
      <c r="G271" s="15">
        <v>3903000</v>
      </c>
    </row>
    <row r="272" ht="102" spans="1:7">
      <c r="A272" s="13" t="s">
        <v>1031</v>
      </c>
      <c r="B272" s="13" t="s">
        <v>1032</v>
      </c>
      <c r="C272" s="13" t="s">
        <v>1033</v>
      </c>
      <c r="D272" s="13" t="s">
        <v>1034</v>
      </c>
      <c r="E272" s="14" t="s">
        <v>126</v>
      </c>
      <c r="F272" s="15">
        <v>5303250</v>
      </c>
      <c r="G272" s="15">
        <v>3418500</v>
      </c>
    </row>
    <row r="273" ht="25.5" spans="1:7">
      <c r="A273" s="13" t="s">
        <v>1035</v>
      </c>
      <c r="B273" s="13" t="s">
        <v>1036</v>
      </c>
      <c r="C273" s="13" t="s">
        <v>1037</v>
      </c>
      <c r="D273" s="13" t="s">
        <v>1038</v>
      </c>
      <c r="E273" s="14" t="s">
        <v>720</v>
      </c>
      <c r="F273" s="15">
        <v>46230</v>
      </c>
      <c r="G273" s="15">
        <v>20002.5</v>
      </c>
    </row>
    <row r="274" ht="38.25" spans="1:7">
      <c r="A274" s="13" t="s">
        <v>1039</v>
      </c>
      <c r="B274" s="13" t="s">
        <v>1040</v>
      </c>
      <c r="C274" s="13" t="s">
        <v>1041</v>
      </c>
      <c r="D274" s="13" t="s">
        <v>1042</v>
      </c>
      <c r="E274" s="14" t="s">
        <v>720</v>
      </c>
      <c r="F274" s="15">
        <v>180075</v>
      </c>
      <c r="G274" s="15">
        <v>20002.5</v>
      </c>
    </row>
    <row r="275" ht="25.5" spans="1:7">
      <c r="A275" s="13" t="s">
        <v>1043</v>
      </c>
      <c r="B275" s="13"/>
      <c r="C275" s="13" t="s">
        <v>1044</v>
      </c>
      <c r="D275" s="13" t="s">
        <v>727</v>
      </c>
      <c r="E275" s="14" t="s">
        <v>202</v>
      </c>
      <c r="F275" s="15">
        <v>0</v>
      </c>
      <c r="G275" s="15">
        <v>26527.5</v>
      </c>
    </row>
    <row r="276" spans="1:7">
      <c r="A276" s="13" t="s">
        <v>1045</v>
      </c>
      <c r="B276" s="13"/>
      <c r="C276" s="13" t="s">
        <v>1046</v>
      </c>
      <c r="D276" s="13" t="s">
        <v>730</v>
      </c>
      <c r="E276" s="14" t="s">
        <v>314</v>
      </c>
      <c r="F276" s="15">
        <v>0</v>
      </c>
      <c r="G276" s="15">
        <v>1650</v>
      </c>
    </row>
    <row r="277" ht="25.5" spans="1:7">
      <c r="A277" s="13" t="s">
        <v>1047</v>
      </c>
      <c r="B277" s="13"/>
      <c r="C277" s="13" t="s">
        <v>1048</v>
      </c>
      <c r="D277" s="13" t="s">
        <v>741</v>
      </c>
      <c r="E277" s="14" t="s">
        <v>928</v>
      </c>
      <c r="F277" s="15">
        <v>0</v>
      </c>
      <c r="G277" s="15">
        <v>7237.5</v>
      </c>
    </row>
    <row r="278" ht="25.5" spans="1:7">
      <c r="A278" s="13" t="s">
        <v>1049</v>
      </c>
      <c r="B278" s="13"/>
      <c r="C278" s="13" t="s">
        <v>1050</v>
      </c>
      <c r="D278" s="13" t="s">
        <v>744</v>
      </c>
      <c r="E278" s="14" t="s">
        <v>314</v>
      </c>
      <c r="F278" s="15">
        <v>0</v>
      </c>
      <c r="G278" s="15">
        <v>10620</v>
      </c>
    </row>
    <row r="279" ht="38.25" spans="1:7">
      <c r="A279" s="13" t="s">
        <v>1051</v>
      </c>
      <c r="B279" s="13" t="s">
        <v>1052</v>
      </c>
      <c r="C279" s="13" t="s">
        <v>1053</v>
      </c>
      <c r="D279" s="13" t="s">
        <v>1054</v>
      </c>
      <c r="E279" s="14" t="s">
        <v>126</v>
      </c>
      <c r="F279" s="15">
        <v>3292.5</v>
      </c>
      <c r="G279" s="15">
        <v>900</v>
      </c>
    </row>
    <row r="280" ht="63.75" spans="1:7">
      <c r="A280" s="13" t="s">
        <v>1055</v>
      </c>
      <c r="B280" s="13" t="s">
        <v>1056</v>
      </c>
      <c r="C280" s="13" t="s">
        <v>1057</v>
      </c>
      <c r="D280" s="13" t="s">
        <v>1058</v>
      </c>
      <c r="E280" s="14" t="s">
        <v>215</v>
      </c>
      <c r="F280" s="15">
        <v>78000</v>
      </c>
      <c r="G280" s="15">
        <v>42195</v>
      </c>
    </row>
    <row r="281" ht="63.75" spans="1:7">
      <c r="A281" s="13" t="s">
        <v>1059</v>
      </c>
      <c r="B281" s="13" t="s">
        <v>1060</v>
      </c>
      <c r="C281" s="13" t="s">
        <v>1061</v>
      </c>
      <c r="D281" s="13" t="s">
        <v>1062</v>
      </c>
      <c r="E281" s="14" t="s">
        <v>215</v>
      </c>
      <c r="F281" s="15">
        <v>120075</v>
      </c>
      <c r="G281" s="15">
        <v>42195</v>
      </c>
    </row>
    <row r="282" spans="1:7">
      <c r="A282" s="13" t="s">
        <v>1063</v>
      </c>
      <c r="B282" s="13"/>
      <c r="C282" s="13" t="s">
        <v>1064</v>
      </c>
      <c r="D282" s="13" t="s">
        <v>747</v>
      </c>
      <c r="E282" s="14" t="s">
        <v>126</v>
      </c>
      <c r="F282" s="15">
        <v>0</v>
      </c>
      <c r="G282" s="15">
        <v>1807.5</v>
      </c>
    </row>
    <row r="283" ht="25.5" spans="1:7">
      <c r="A283" s="13" t="s">
        <v>1065</v>
      </c>
      <c r="B283" s="13"/>
      <c r="C283" s="13" t="s">
        <v>1066</v>
      </c>
      <c r="D283" s="13" t="s">
        <v>1067</v>
      </c>
      <c r="E283" s="14" t="s">
        <v>648</v>
      </c>
      <c r="F283" s="15">
        <v>0</v>
      </c>
      <c r="G283" s="15">
        <v>2473500</v>
      </c>
    </row>
    <row r="284" ht="76.5" spans="1:7">
      <c r="A284" s="13" t="s">
        <v>1068</v>
      </c>
      <c r="B284" s="13" t="s">
        <v>1069</v>
      </c>
      <c r="C284" s="13" t="s">
        <v>1070</v>
      </c>
      <c r="D284" s="13" t="s">
        <v>1071</v>
      </c>
      <c r="E284" s="14" t="s">
        <v>706</v>
      </c>
      <c r="F284" s="15">
        <v>1111500</v>
      </c>
      <c r="G284" s="15">
        <v>509250</v>
      </c>
    </row>
    <row r="285" ht="76.5" spans="1:7">
      <c r="A285" s="13" t="s">
        <v>1072</v>
      </c>
      <c r="B285" s="13" t="s">
        <v>1073</v>
      </c>
      <c r="C285" s="13" t="s">
        <v>1074</v>
      </c>
      <c r="D285" s="13" t="s">
        <v>1075</v>
      </c>
      <c r="E285" s="14" t="s">
        <v>706</v>
      </c>
      <c r="F285" s="15">
        <v>1206750</v>
      </c>
      <c r="G285" s="15">
        <v>545625</v>
      </c>
    </row>
    <row r="286" ht="38.25" spans="1:7">
      <c r="A286" s="13" t="s">
        <v>1076</v>
      </c>
      <c r="B286" s="13"/>
      <c r="C286" s="13" t="s">
        <v>1077</v>
      </c>
      <c r="D286" s="13" t="s">
        <v>1078</v>
      </c>
      <c r="E286" s="14" t="s">
        <v>215</v>
      </c>
      <c r="F286" s="15">
        <v>0</v>
      </c>
      <c r="G286" s="15">
        <v>1818750</v>
      </c>
    </row>
    <row r="287" ht="25.5" spans="1:7">
      <c r="A287" s="13" t="s">
        <v>1079</v>
      </c>
      <c r="B287" s="13"/>
      <c r="C287" s="13" t="s">
        <v>1080</v>
      </c>
      <c r="D287" s="13" t="s">
        <v>1081</v>
      </c>
      <c r="E287" s="14" t="s">
        <v>215</v>
      </c>
      <c r="F287" s="15">
        <v>0</v>
      </c>
      <c r="G287" s="15">
        <v>7680</v>
      </c>
    </row>
    <row r="288" ht="25.5" spans="1:7">
      <c r="A288" s="13" t="s">
        <v>1082</v>
      </c>
      <c r="B288" s="13"/>
      <c r="C288" s="13" t="s">
        <v>1083</v>
      </c>
      <c r="D288" s="13" t="s">
        <v>1084</v>
      </c>
      <c r="E288" s="14" t="s">
        <v>763</v>
      </c>
      <c r="F288" s="15">
        <v>0</v>
      </c>
      <c r="G288" s="15">
        <v>6727.5</v>
      </c>
    </row>
    <row r="289" ht="191.25" spans="1:7">
      <c r="A289" s="13" t="s">
        <v>1085</v>
      </c>
      <c r="B289" s="13" t="s">
        <v>1086</v>
      </c>
      <c r="C289" s="13" t="s">
        <v>1087</v>
      </c>
      <c r="D289" s="13" t="s">
        <v>1088</v>
      </c>
      <c r="E289" s="14" t="s">
        <v>135</v>
      </c>
      <c r="F289" s="15">
        <v>558975</v>
      </c>
      <c r="G289" s="15">
        <v>109125</v>
      </c>
    </row>
    <row r="290" ht="191.25" spans="1:7">
      <c r="A290" s="13" t="s">
        <v>1089</v>
      </c>
      <c r="B290" s="13" t="s">
        <v>1090</v>
      </c>
      <c r="C290" s="13" t="s">
        <v>1091</v>
      </c>
      <c r="D290" s="13" t="s">
        <v>1092</v>
      </c>
      <c r="E290" s="14" t="s">
        <v>135</v>
      </c>
      <c r="F290" s="15">
        <v>431325</v>
      </c>
      <c r="G290" s="15">
        <v>105450</v>
      </c>
    </row>
    <row r="291" ht="38.25" spans="1:7">
      <c r="A291" s="13" t="s">
        <v>1093</v>
      </c>
      <c r="B291" s="13"/>
      <c r="C291" s="13" t="s">
        <v>1094</v>
      </c>
      <c r="D291" s="13" t="s">
        <v>1095</v>
      </c>
      <c r="E291" s="14" t="s">
        <v>215</v>
      </c>
      <c r="F291" s="15">
        <v>0</v>
      </c>
      <c r="G291" s="15">
        <v>7680</v>
      </c>
    </row>
    <row r="292" ht="25.5" spans="1:7">
      <c r="A292" s="13" t="s">
        <v>1096</v>
      </c>
      <c r="B292" s="13"/>
      <c r="C292" s="13" t="s">
        <v>1097</v>
      </c>
      <c r="D292" s="13" t="s">
        <v>651</v>
      </c>
      <c r="E292" s="14" t="s">
        <v>215</v>
      </c>
      <c r="F292" s="15">
        <v>0</v>
      </c>
      <c r="G292" s="15">
        <v>26527.5</v>
      </c>
    </row>
    <row r="293" spans="1:7">
      <c r="A293" s="13" t="s">
        <v>1098</v>
      </c>
      <c r="B293" s="13" t="s">
        <v>1099</v>
      </c>
      <c r="C293" s="13" t="s">
        <v>1100</v>
      </c>
      <c r="D293" s="13" t="s">
        <v>1101</v>
      </c>
      <c r="E293" s="14" t="s">
        <v>135</v>
      </c>
      <c r="F293" s="15">
        <v>15255</v>
      </c>
      <c r="G293" s="15">
        <v>7522.5</v>
      </c>
    </row>
    <row r="294" ht="38.25" spans="1:7">
      <c r="A294" s="13" t="s">
        <v>1102</v>
      </c>
      <c r="B294" s="13" t="s">
        <v>1103</v>
      </c>
      <c r="C294" s="13" t="s">
        <v>1104</v>
      </c>
      <c r="D294" s="13" t="s">
        <v>1105</v>
      </c>
      <c r="E294" s="14" t="s">
        <v>126</v>
      </c>
      <c r="F294" s="15">
        <v>13492.5</v>
      </c>
      <c r="G294" s="15">
        <v>17460</v>
      </c>
    </row>
    <row r="295" ht="25.5" spans="1:7">
      <c r="A295" s="13" t="s">
        <v>1106</v>
      </c>
      <c r="B295" s="13" t="s">
        <v>1107</v>
      </c>
      <c r="C295" s="13" t="s">
        <v>1108</v>
      </c>
      <c r="D295" s="13" t="s">
        <v>1109</v>
      </c>
      <c r="E295" s="14" t="s">
        <v>126</v>
      </c>
      <c r="F295" s="15">
        <v>13800</v>
      </c>
      <c r="G295" s="15">
        <v>17460</v>
      </c>
    </row>
    <row r="296" spans="1:7">
      <c r="A296" s="13" t="s">
        <v>1110</v>
      </c>
      <c r="B296" s="13"/>
      <c r="C296" s="13" t="s">
        <v>1111</v>
      </c>
      <c r="D296" s="13" t="s">
        <v>1112</v>
      </c>
      <c r="E296" s="14" t="s">
        <v>215</v>
      </c>
      <c r="F296" s="15">
        <v>0</v>
      </c>
      <c r="G296" s="15">
        <v>3645</v>
      </c>
    </row>
    <row r="297" spans="1:7">
      <c r="A297" s="13" t="s">
        <v>1113</v>
      </c>
      <c r="B297" s="13"/>
      <c r="C297" s="13" t="s">
        <v>1114</v>
      </c>
      <c r="D297" s="13" t="s">
        <v>1115</v>
      </c>
      <c r="E297" s="14" t="s">
        <v>928</v>
      </c>
      <c r="F297" s="15">
        <v>0</v>
      </c>
      <c r="G297" s="15">
        <v>3645</v>
      </c>
    </row>
    <row r="298" ht="25.5" spans="1:7">
      <c r="A298" s="13" t="s">
        <v>1116</v>
      </c>
      <c r="B298" s="13"/>
      <c r="C298" s="13" t="s">
        <v>1117</v>
      </c>
      <c r="D298" s="13" t="s">
        <v>1118</v>
      </c>
      <c r="E298" s="14" t="s">
        <v>314</v>
      </c>
      <c r="F298" s="15">
        <v>0</v>
      </c>
      <c r="G298" s="15">
        <v>3645</v>
      </c>
    </row>
    <row r="299" spans="1:7">
      <c r="A299" s="13" t="s">
        <v>1119</v>
      </c>
      <c r="B299" s="13" t="s">
        <v>1120</v>
      </c>
      <c r="C299" s="13" t="s">
        <v>1121</v>
      </c>
      <c r="D299" s="13" t="s">
        <v>1122</v>
      </c>
      <c r="E299" s="14" t="s">
        <v>151</v>
      </c>
      <c r="F299" s="15">
        <v>7590</v>
      </c>
      <c r="G299" s="15">
        <v>1117.5</v>
      </c>
    </row>
    <row r="300" ht="25.5" spans="1:7">
      <c r="A300" s="13" t="s">
        <v>1123</v>
      </c>
      <c r="B300" s="13" t="s">
        <v>1124</v>
      </c>
      <c r="C300" s="13" t="s">
        <v>1125</v>
      </c>
      <c r="D300" s="13" t="s">
        <v>1126</v>
      </c>
      <c r="E300" s="14" t="s">
        <v>135</v>
      </c>
      <c r="F300" s="15">
        <v>10800</v>
      </c>
      <c r="G300" s="15">
        <v>8730</v>
      </c>
    </row>
    <row r="301" ht="114.75" spans="1:7">
      <c r="A301" s="13" t="s">
        <v>1127</v>
      </c>
      <c r="B301" s="13" t="s">
        <v>1128</v>
      </c>
      <c r="C301" s="13" t="s">
        <v>1129</v>
      </c>
      <c r="D301" s="13" t="s">
        <v>1130</v>
      </c>
      <c r="E301" s="14" t="s">
        <v>135</v>
      </c>
      <c r="F301" s="15">
        <v>534375</v>
      </c>
      <c r="G301" s="15">
        <v>107475</v>
      </c>
    </row>
    <row r="302" ht="114.75" spans="1:7">
      <c r="A302" s="13" t="s">
        <v>1131</v>
      </c>
      <c r="B302" s="13" t="s">
        <v>1132</v>
      </c>
      <c r="C302" s="13" t="s">
        <v>1133</v>
      </c>
      <c r="D302" s="13" t="s">
        <v>1134</v>
      </c>
      <c r="E302" s="14" t="s">
        <v>135</v>
      </c>
      <c r="F302" s="15">
        <v>408075</v>
      </c>
      <c r="G302" s="15">
        <v>103500</v>
      </c>
    </row>
    <row r="303" ht="89.25" spans="1:7">
      <c r="A303" s="13" t="s">
        <v>1135</v>
      </c>
      <c r="B303" s="13" t="s">
        <v>1136</v>
      </c>
      <c r="C303" s="13" t="s">
        <v>1137</v>
      </c>
      <c r="D303" s="13" t="s">
        <v>1138</v>
      </c>
      <c r="E303" s="14" t="s">
        <v>126</v>
      </c>
      <c r="F303" s="15">
        <v>1023000</v>
      </c>
      <c r="G303" s="15">
        <v>94575</v>
      </c>
    </row>
    <row r="304" ht="89.25" spans="1:7">
      <c r="A304" s="13" t="s">
        <v>1139</v>
      </c>
      <c r="B304" s="13" t="s">
        <v>1140</v>
      </c>
      <c r="C304" s="13" t="s">
        <v>1141</v>
      </c>
      <c r="D304" s="13" t="s">
        <v>1142</v>
      </c>
      <c r="E304" s="14" t="s">
        <v>126</v>
      </c>
      <c r="F304" s="15">
        <v>894750</v>
      </c>
      <c r="G304" s="15">
        <v>94575</v>
      </c>
    </row>
    <row r="305" ht="25.5" spans="1:7">
      <c r="A305" s="13" t="s">
        <v>1143</v>
      </c>
      <c r="B305" s="13"/>
      <c r="C305" s="13" t="s">
        <v>1144</v>
      </c>
      <c r="D305" s="13" t="s">
        <v>1081</v>
      </c>
      <c r="E305" s="14" t="s">
        <v>215</v>
      </c>
      <c r="F305" s="15">
        <v>0</v>
      </c>
      <c r="G305" s="15">
        <v>7680</v>
      </c>
    </row>
    <row r="306" spans="1:7">
      <c r="A306" s="13" t="s">
        <v>1145</v>
      </c>
      <c r="B306" s="13"/>
      <c r="C306" s="13" t="s">
        <v>1146</v>
      </c>
      <c r="D306" s="13" t="s">
        <v>1147</v>
      </c>
      <c r="E306" s="14" t="s">
        <v>215</v>
      </c>
      <c r="F306" s="15">
        <v>0</v>
      </c>
      <c r="G306" s="15">
        <v>1807.5</v>
      </c>
    </row>
    <row r="307" ht="25.5" spans="1:7">
      <c r="A307" s="13" t="s">
        <v>1148</v>
      </c>
      <c r="B307" s="13"/>
      <c r="C307" s="13" t="s">
        <v>1149</v>
      </c>
      <c r="D307" s="13" t="s">
        <v>663</v>
      </c>
      <c r="E307" s="14" t="s">
        <v>664</v>
      </c>
      <c r="F307" s="15">
        <v>0</v>
      </c>
      <c r="G307" s="15">
        <v>12540</v>
      </c>
    </row>
    <row r="308" ht="25.5" spans="1:7">
      <c r="A308" s="13" t="s">
        <v>1150</v>
      </c>
      <c r="B308" s="13"/>
      <c r="C308" s="13" t="s">
        <v>1151</v>
      </c>
      <c r="D308" s="13" t="s">
        <v>1152</v>
      </c>
      <c r="E308" s="14" t="s">
        <v>763</v>
      </c>
      <c r="F308" s="15">
        <v>0</v>
      </c>
      <c r="G308" s="15">
        <v>6727.5</v>
      </c>
    </row>
    <row r="309" ht="38.25" spans="1:7">
      <c r="A309" s="13" t="s">
        <v>1153</v>
      </c>
      <c r="B309" s="13"/>
      <c r="C309" s="13" t="s">
        <v>1154</v>
      </c>
      <c r="D309" s="13" t="s">
        <v>1155</v>
      </c>
      <c r="E309" s="14" t="s">
        <v>245</v>
      </c>
      <c r="F309" s="15">
        <v>0</v>
      </c>
      <c r="G309" s="15">
        <v>24937.5</v>
      </c>
    </row>
    <row r="310" ht="38.25" spans="1:7">
      <c r="A310" s="13" t="s">
        <v>1156</v>
      </c>
      <c r="B310" s="13" t="s">
        <v>1157</v>
      </c>
      <c r="C310" s="13" t="s">
        <v>1158</v>
      </c>
      <c r="D310" s="13" t="s">
        <v>1159</v>
      </c>
      <c r="E310" s="14" t="s">
        <v>225</v>
      </c>
      <c r="F310" s="15">
        <v>9330</v>
      </c>
      <c r="G310" s="15">
        <v>5655</v>
      </c>
    </row>
    <row r="311" ht="25.5" spans="1:7">
      <c r="A311" s="13" t="s">
        <v>1160</v>
      </c>
      <c r="B311" s="13"/>
      <c r="C311" s="13" t="s">
        <v>1161</v>
      </c>
      <c r="D311" s="13" t="s">
        <v>1162</v>
      </c>
      <c r="E311" s="14" t="s">
        <v>135</v>
      </c>
      <c r="F311" s="15">
        <v>0</v>
      </c>
      <c r="G311" s="15">
        <v>32715</v>
      </c>
    </row>
    <row r="312" ht="25.5" spans="1:7">
      <c r="A312" s="13" t="s">
        <v>1163</v>
      </c>
      <c r="B312" s="13"/>
      <c r="C312" s="13" t="s">
        <v>1164</v>
      </c>
      <c r="D312" s="13" t="s">
        <v>1165</v>
      </c>
      <c r="E312" s="14" t="s">
        <v>135</v>
      </c>
      <c r="F312" s="15">
        <v>0</v>
      </c>
      <c r="G312" s="15">
        <v>40897.5</v>
      </c>
    </row>
    <row r="313" spans="1:7">
      <c r="A313" s="13" t="s">
        <v>1166</v>
      </c>
      <c r="B313" s="13"/>
      <c r="C313" s="13" t="s">
        <v>1167</v>
      </c>
      <c r="D313" s="13" t="s">
        <v>1168</v>
      </c>
      <c r="E313" s="14" t="s">
        <v>135</v>
      </c>
      <c r="F313" s="15">
        <v>0</v>
      </c>
      <c r="G313" s="15">
        <v>183900</v>
      </c>
    </row>
    <row r="314" spans="1:7">
      <c r="A314" s="13" t="s">
        <v>1169</v>
      </c>
      <c r="B314" s="13"/>
      <c r="C314" s="13" t="s">
        <v>1170</v>
      </c>
      <c r="D314" s="13" t="s">
        <v>1171</v>
      </c>
      <c r="E314" s="14" t="s">
        <v>135</v>
      </c>
      <c r="F314" s="15">
        <v>0</v>
      </c>
      <c r="G314" s="15">
        <v>253350</v>
      </c>
    </row>
    <row r="315" ht="38.25" spans="1:7">
      <c r="A315" s="13" t="s">
        <v>1172</v>
      </c>
      <c r="B315" s="13"/>
      <c r="C315" s="13" t="s">
        <v>1173</v>
      </c>
      <c r="D315" s="13" t="s">
        <v>1174</v>
      </c>
      <c r="E315" s="14" t="s">
        <v>135</v>
      </c>
      <c r="F315" s="15">
        <v>0</v>
      </c>
      <c r="G315" s="15">
        <v>75675</v>
      </c>
    </row>
    <row r="316" ht="25.5" spans="1:7">
      <c r="A316" s="13" t="s">
        <v>1175</v>
      </c>
      <c r="B316" s="13"/>
      <c r="C316" s="13" t="s">
        <v>1176</v>
      </c>
      <c r="D316" s="13" t="s">
        <v>1177</v>
      </c>
      <c r="E316" s="14" t="s">
        <v>135</v>
      </c>
      <c r="F316" s="15">
        <v>0</v>
      </c>
      <c r="G316" s="15">
        <v>378300</v>
      </c>
    </row>
    <row r="317" ht="38.25" spans="1:7">
      <c r="A317" s="13" t="s">
        <v>1178</v>
      </c>
      <c r="B317" s="13"/>
      <c r="C317" s="13" t="s">
        <v>1179</v>
      </c>
      <c r="D317" s="13" t="s">
        <v>1180</v>
      </c>
      <c r="E317" s="14" t="s">
        <v>664</v>
      </c>
      <c r="F317" s="15">
        <v>0</v>
      </c>
      <c r="G317" s="15">
        <v>69450</v>
      </c>
    </row>
    <row r="318" ht="38.25" spans="1:7">
      <c r="A318" s="13" t="s">
        <v>1181</v>
      </c>
      <c r="B318" s="13" t="s">
        <v>1182</v>
      </c>
      <c r="C318" s="13" t="s">
        <v>1183</v>
      </c>
      <c r="D318" s="13" t="s">
        <v>1184</v>
      </c>
      <c r="E318" s="14" t="s">
        <v>126</v>
      </c>
      <c r="F318" s="15">
        <v>18450</v>
      </c>
      <c r="G318" s="15">
        <v>2100</v>
      </c>
    </row>
    <row r="319" ht="38.25" spans="1:7">
      <c r="A319" s="13" t="s">
        <v>1185</v>
      </c>
      <c r="B319" s="13" t="s">
        <v>1186</v>
      </c>
      <c r="C319" s="13" t="s">
        <v>1187</v>
      </c>
      <c r="D319" s="13" t="s">
        <v>1188</v>
      </c>
      <c r="E319" s="14" t="s">
        <v>126</v>
      </c>
      <c r="F319" s="15">
        <v>17145</v>
      </c>
      <c r="G319" s="15">
        <v>2100</v>
      </c>
    </row>
    <row r="320" ht="38.25" spans="1:7">
      <c r="A320" s="13" t="s">
        <v>1189</v>
      </c>
      <c r="B320" s="13" t="s">
        <v>1190</v>
      </c>
      <c r="C320" s="13" t="s">
        <v>1191</v>
      </c>
      <c r="D320" s="13" t="s">
        <v>1192</v>
      </c>
      <c r="E320" s="14" t="s">
        <v>126</v>
      </c>
      <c r="F320" s="15">
        <v>19042.5</v>
      </c>
      <c r="G320" s="15">
        <v>1920</v>
      </c>
    </row>
    <row r="321" ht="38.25" spans="1:7">
      <c r="A321" s="13" t="s">
        <v>1193</v>
      </c>
      <c r="B321" s="13" t="s">
        <v>1194</v>
      </c>
      <c r="C321" s="13" t="s">
        <v>1195</v>
      </c>
      <c r="D321" s="13" t="s">
        <v>1196</v>
      </c>
      <c r="E321" s="14" t="s">
        <v>25</v>
      </c>
      <c r="F321" s="15">
        <v>1252.5</v>
      </c>
      <c r="G321" s="15">
        <v>1035</v>
      </c>
    </row>
    <row r="322" ht="38.25" spans="1:7">
      <c r="A322" s="13" t="s">
        <v>1197</v>
      </c>
      <c r="B322" s="13" t="s">
        <v>1198</v>
      </c>
      <c r="C322" s="13" t="s">
        <v>1199</v>
      </c>
      <c r="D322" s="13" t="s">
        <v>1200</v>
      </c>
      <c r="E322" s="14" t="s">
        <v>25</v>
      </c>
      <c r="F322" s="15">
        <v>1387.5</v>
      </c>
      <c r="G322" s="15">
        <v>1035</v>
      </c>
    </row>
    <row r="323" ht="38.25" spans="1:7">
      <c r="A323" s="13" t="s">
        <v>1201</v>
      </c>
      <c r="B323" s="13" t="s">
        <v>1202</v>
      </c>
      <c r="C323" s="13" t="s">
        <v>1203</v>
      </c>
      <c r="D323" s="13" t="s">
        <v>1204</v>
      </c>
      <c r="E323" s="14" t="s">
        <v>25</v>
      </c>
      <c r="F323" s="15">
        <v>1597.5</v>
      </c>
      <c r="G323" s="15">
        <v>960</v>
      </c>
    </row>
    <row r="324" ht="25.5" spans="1:7">
      <c r="A324" s="13" t="s">
        <v>1205</v>
      </c>
      <c r="B324" s="13" t="s">
        <v>1206</v>
      </c>
      <c r="C324" s="13" t="s">
        <v>1207</v>
      </c>
      <c r="D324" s="13" t="s">
        <v>1208</v>
      </c>
      <c r="E324" s="14" t="s">
        <v>664</v>
      </c>
      <c r="F324" s="15">
        <v>78225</v>
      </c>
      <c r="G324" s="15">
        <v>37875</v>
      </c>
    </row>
    <row r="325" ht="38.25" spans="1:7">
      <c r="A325" s="13" t="s">
        <v>1209</v>
      </c>
      <c r="B325" s="13" t="s">
        <v>1210</v>
      </c>
      <c r="C325" s="13" t="s">
        <v>1211</v>
      </c>
      <c r="D325" s="13" t="s">
        <v>1212</v>
      </c>
      <c r="E325" s="14" t="s">
        <v>126</v>
      </c>
      <c r="F325" s="15">
        <v>16725</v>
      </c>
      <c r="G325" s="15">
        <v>2100</v>
      </c>
    </row>
    <row r="326" ht="38.25" spans="1:7">
      <c r="A326" s="13" t="s">
        <v>1213</v>
      </c>
      <c r="B326" s="13" t="s">
        <v>1214</v>
      </c>
      <c r="C326" s="13" t="s">
        <v>1215</v>
      </c>
      <c r="D326" s="13" t="s">
        <v>1216</v>
      </c>
      <c r="E326" s="14" t="s">
        <v>126</v>
      </c>
      <c r="F326" s="15">
        <v>17145</v>
      </c>
      <c r="G326" s="15">
        <v>2100</v>
      </c>
    </row>
    <row r="327" ht="38.25" spans="1:7">
      <c r="A327" s="13" t="s">
        <v>1217</v>
      </c>
      <c r="B327" s="13" t="s">
        <v>1218</v>
      </c>
      <c r="C327" s="13" t="s">
        <v>1219</v>
      </c>
      <c r="D327" s="13" t="s">
        <v>1220</v>
      </c>
      <c r="E327" s="14" t="s">
        <v>126</v>
      </c>
      <c r="F327" s="15">
        <v>17475</v>
      </c>
      <c r="G327" s="15">
        <v>2100</v>
      </c>
    </row>
    <row r="328" ht="51" spans="1:7">
      <c r="A328" s="16" t="s">
        <v>1221</v>
      </c>
      <c r="B328" s="13" t="s">
        <v>1222</v>
      </c>
      <c r="C328" s="13" t="s">
        <v>1223</v>
      </c>
      <c r="D328" s="16" t="s">
        <v>1224</v>
      </c>
      <c r="E328" s="17" t="s">
        <v>225</v>
      </c>
      <c r="F328" s="15">
        <v>7275</v>
      </c>
      <c r="G328" s="15">
        <v>40650</v>
      </c>
    </row>
    <row r="329" ht="25.5" spans="1:7">
      <c r="A329" s="13" t="s">
        <v>1225</v>
      </c>
      <c r="B329" s="13" t="s">
        <v>1226</v>
      </c>
      <c r="C329" s="13" t="s">
        <v>1227</v>
      </c>
      <c r="D329" s="13" t="s">
        <v>1228</v>
      </c>
      <c r="E329" s="14" t="s">
        <v>135</v>
      </c>
      <c r="F329" s="15">
        <v>13920</v>
      </c>
      <c r="G329" s="15">
        <v>8730</v>
      </c>
    </row>
    <row r="330" ht="25.5" spans="1:7">
      <c r="A330" s="13" t="s">
        <v>1229</v>
      </c>
      <c r="B330" s="13" t="s">
        <v>1230</v>
      </c>
      <c r="C330" s="13" t="s">
        <v>1231</v>
      </c>
      <c r="D330" s="13" t="s">
        <v>1232</v>
      </c>
      <c r="E330" s="14" t="s">
        <v>135</v>
      </c>
      <c r="F330" s="15">
        <v>18720</v>
      </c>
      <c r="G330" s="15">
        <v>8730</v>
      </c>
    </row>
    <row r="331" ht="38.25" spans="1:7">
      <c r="A331" s="13" t="s">
        <v>1233</v>
      </c>
      <c r="B331" s="13" t="s">
        <v>1234</v>
      </c>
      <c r="C331" s="13" t="s">
        <v>1235</v>
      </c>
      <c r="D331" s="13" t="s">
        <v>1236</v>
      </c>
      <c r="E331" s="14" t="s">
        <v>126</v>
      </c>
      <c r="F331" s="15">
        <v>11640</v>
      </c>
      <c r="G331" s="15">
        <v>7905</v>
      </c>
    </row>
    <row r="332" ht="102" spans="1:7">
      <c r="A332" s="13" t="s">
        <v>1237</v>
      </c>
      <c r="B332" s="13" t="s">
        <v>1238</v>
      </c>
      <c r="C332" s="13" t="s">
        <v>1239</v>
      </c>
      <c r="D332" s="13" t="s">
        <v>1240</v>
      </c>
      <c r="E332" s="14" t="s">
        <v>225</v>
      </c>
      <c r="F332" s="15">
        <v>3697500</v>
      </c>
      <c r="G332" s="15">
        <v>1127250</v>
      </c>
    </row>
    <row r="333" ht="51" spans="1:7">
      <c r="A333" s="13" t="s">
        <v>1241</v>
      </c>
      <c r="B333" s="13" t="s">
        <v>1242</v>
      </c>
      <c r="C333" s="13" t="s">
        <v>1243</v>
      </c>
      <c r="D333" s="13" t="s">
        <v>1244</v>
      </c>
      <c r="E333" s="14" t="s">
        <v>25</v>
      </c>
      <c r="F333" s="15">
        <v>14280</v>
      </c>
      <c r="G333" s="15">
        <v>2790</v>
      </c>
    </row>
    <row r="334" ht="51" spans="1:7">
      <c r="A334" s="13" t="s">
        <v>1245</v>
      </c>
      <c r="B334" s="13" t="s">
        <v>1246</v>
      </c>
      <c r="C334" s="13" t="s">
        <v>1247</v>
      </c>
      <c r="D334" s="13" t="s">
        <v>1248</v>
      </c>
      <c r="E334" s="14" t="s">
        <v>151</v>
      </c>
      <c r="F334" s="15">
        <v>14100</v>
      </c>
      <c r="G334" s="15">
        <v>2790</v>
      </c>
    </row>
    <row r="335" ht="38.25" spans="1:7">
      <c r="A335" s="13" t="s">
        <v>1249</v>
      </c>
      <c r="B335" s="13" t="s">
        <v>1250</v>
      </c>
      <c r="C335" s="13" t="s">
        <v>1251</v>
      </c>
      <c r="D335" s="13" t="s">
        <v>1252</v>
      </c>
      <c r="E335" s="14" t="s">
        <v>220</v>
      </c>
      <c r="F335" s="15">
        <v>48750</v>
      </c>
      <c r="G335" s="15">
        <v>21675</v>
      </c>
    </row>
    <row r="336" ht="38.25" spans="1:7">
      <c r="A336" s="13" t="s">
        <v>1253</v>
      </c>
      <c r="B336" s="13"/>
      <c r="C336" s="13" t="s">
        <v>1254</v>
      </c>
      <c r="D336" s="13" t="s">
        <v>1255</v>
      </c>
      <c r="E336" s="14" t="s">
        <v>1256</v>
      </c>
      <c r="F336" s="15">
        <v>0</v>
      </c>
      <c r="G336" s="15">
        <v>11250000</v>
      </c>
    </row>
    <row r="337" ht="38.25" spans="1:7">
      <c r="A337" s="16" t="s">
        <v>1257</v>
      </c>
      <c r="B337" s="13" t="s">
        <v>1258</v>
      </c>
      <c r="C337" s="13" t="s">
        <v>1259</v>
      </c>
      <c r="D337" s="16" t="s">
        <v>1260</v>
      </c>
      <c r="E337" s="17" t="s">
        <v>225</v>
      </c>
      <c r="F337" s="15">
        <v>240</v>
      </c>
      <c r="G337" s="15">
        <v>360</v>
      </c>
    </row>
    <row r="338" ht="51" spans="1:7">
      <c r="A338" s="13" t="s">
        <v>1261</v>
      </c>
      <c r="B338" s="13" t="s">
        <v>1262</v>
      </c>
      <c r="C338" s="13" t="s">
        <v>1263</v>
      </c>
      <c r="D338" s="13" t="s">
        <v>1264</v>
      </c>
      <c r="E338" s="14" t="s">
        <v>126</v>
      </c>
      <c r="F338" s="15">
        <v>249150</v>
      </c>
      <c r="G338" s="15">
        <v>23527.5</v>
      </c>
    </row>
    <row r="339" ht="51" spans="1:7">
      <c r="A339" s="13" t="s">
        <v>1265</v>
      </c>
      <c r="B339" s="13" t="s">
        <v>1266</v>
      </c>
      <c r="C339" s="13" t="s">
        <v>1267</v>
      </c>
      <c r="D339" s="13" t="s">
        <v>1268</v>
      </c>
      <c r="E339" s="14" t="s">
        <v>126</v>
      </c>
      <c r="F339" s="15">
        <v>224625</v>
      </c>
      <c r="G339" s="15">
        <v>23527.5</v>
      </c>
    </row>
    <row r="340" ht="51" spans="1:7">
      <c r="A340" s="13" t="s">
        <v>1269</v>
      </c>
      <c r="B340" s="13" t="s">
        <v>1270</v>
      </c>
      <c r="C340" s="13" t="s">
        <v>1271</v>
      </c>
      <c r="D340" s="13" t="s">
        <v>1272</v>
      </c>
      <c r="E340" s="14" t="s">
        <v>126</v>
      </c>
      <c r="F340" s="15">
        <v>107325</v>
      </c>
      <c r="G340" s="15">
        <v>23527.5</v>
      </c>
    </row>
    <row r="341" ht="51" spans="1:7">
      <c r="A341" s="13" t="s">
        <v>1273</v>
      </c>
      <c r="B341" s="13" t="s">
        <v>1274</v>
      </c>
      <c r="C341" s="13" t="s">
        <v>1275</v>
      </c>
      <c r="D341" s="13" t="s">
        <v>1276</v>
      </c>
      <c r="E341" s="14" t="s">
        <v>126</v>
      </c>
      <c r="F341" s="15">
        <v>449325</v>
      </c>
      <c r="G341" s="15">
        <v>25462.5</v>
      </c>
    </row>
    <row r="342" ht="51" spans="1:7">
      <c r="A342" s="13" t="s">
        <v>1277</v>
      </c>
      <c r="B342" s="13" t="s">
        <v>1278</v>
      </c>
      <c r="C342" s="13" t="s">
        <v>1279</v>
      </c>
      <c r="D342" s="13" t="s">
        <v>1280</v>
      </c>
      <c r="E342" s="14" t="s">
        <v>126</v>
      </c>
      <c r="F342" s="15">
        <v>141075</v>
      </c>
      <c r="G342" s="15">
        <v>23527.5</v>
      </c>
    </row>
    <row r="343" ht="51" spans="1:7">
      <c r="A343" s="13" t="s">
        <v>1281</v>
      </c>
      <c r="B343" s="13" t="s">
        <v>1282</v>
      </c>
      <c r="C343" s="13" t="s">
        <v>1283</v>
      </c>
      <c r="D343" s="13" t="s">
        <v>1284</v>
      </c>
      <c r="E343" s="14" t="s">
        <v>225</v>
      </c>
      <c r="F343" s="15">
        <v>159000</v>
      </c>
      <c r="G343" s="15">
        <v>23527.5</v>
      </c>
    </row>
    <row r="344" ht="51" spans="1:7">
      <c r="A344" s="16" t="s">
        <v>1285</v>
      </c>
      <c r="B344" s="13" t="s">
        <v>1286</v>
      </c>
      <c r="C344" s="13" t="s">
        <v>1287</v>
      </c>
      <c r="D344" s="16" t="s">
        <v>1288</v>
      </c>
      <c r="E344" s="17" t="s">
        <v>126</v>
      </c>
      <c r="F344" s="15">
        <v>159000</v>
      </c>
      <c r="G344" s="15">
        <v>23527.5</v>
      </c>
    </row>
    <row r="345" ht="51" spans="1:7">
      <c r="A345" s="13" t="s">
        <v>1289</v>
      </c>
      <c r="B345" s="13" t="s">
        <v>1290</v>
      </c>
      <c r="C345" s="13" t="s">
        <v>1291</v>
      </c>
      <c r="D345" s="13" t="s">
        <v>1292</v>
      </c>
      <c r="E345" s="14" t="s">
        <v>126</v>
      </c>
      <c r="F345" s="15">
        <v>122850</v>
      </c>
      <c r="G345" s="15">
        <v>23527.5</v>
      </c>
    </row>
    <row r="346" ht="51" spans="1:7">
      <c r="A346" s="13" t="s">
        <v>1293</v>
      </c>
      <c r="B346" s="13" t="s">
        <v>1294</v>
      </c>
      <c r="C346" s="13" t="s">
        <v>1295</v>
      </c>
      <c r="D346" s="13" t="s">
        <v>1296</v>
      </c>
      <c r="E346" s="14" t="s">
        <v>126</v>
      </c>
      <c r="F346" s="15">
        <v>366000</v>
      </c>
      <c r="G346" s="15">
        <v>23692.5</v>
      </c>
    </row>
    <row r="347" ht="51" spans="1:7">
      <c r="A347" s="13" t="s">
        <v>1297</v>
      </c>
      <c r="B347" s="13" t="s">
        <v>1298</v>
      </c>
      <c r="C347" s="13" t="s">
        <v>1299</v>
      </c>
      <c r="D347" s="13" t="s">
        <v>1300</v>
      </c>
      <c r="E347" s="14" t="s">
        <v>126</v>
      </c>
      <c r="F347" s="15">
        <v>191250</v>
      </c>
      <c r="G347" s="15">
        <v>23692.5</v>
      </c>
    </row>
    <row r="348" ht="51" spans="1:7">
      <c r="A348" s="13" t="s">
        <v>1301</v>
      </c>
      <c r="B348" s="13" t="s">
        <v>1302</v>
      </c>
      <c r="C348" s="13" t="s">
        <v>1303</v>
      </c>
      <c r="D348" s="13" t="s">
        <v>1304</v>
      </c>
      <c r="E348" s="14" t="s">
        <v>126</v>
      </c>
      <c r="F348" s="15">
        <v>432000</v>
      </c>
      <c r="G348" s="15">
        <v>25462.5</v>
      </c>
    </row>
    <row r="349" ht="25.5" spans="1:7">
      <c r="A349" s="13" t="s">
        <v>1305</v>
      </c>
      <c r="B349" s="13" t="s">
        <v>1306</v>
      </c>
      <c r="C349" s="13" t="s">
        <v>1307</v>
      </c>
      <c r="D349" s="13" t="s">
        <v>1308</v>
      </c>
      <c r="E349" s="14" t="s">
        <v>664</v>
      </c>
      <c r="F349" s="15">
        <v>17100</v>
      </c>
      <c r="G349" s="15">
        <v>8175</v>
      </c>
    </row>
    <row r="350" ht="25.5" spans="1:7">
      <c r="A350" s="13" t="s">
        <v>1309</v>
      </c>
      <c r="B350" s="13"/>
      <c r="C350" s="13" t="s">
        <v>1310</v>
      </c>
      <c r="D350" s="13" t="s">
        <v>1311</v>
      </c>
      <c r="E350" s="14" t="s">
        <v>215</v>
      </c>
      <c r="F350" s="15">
        <v>0</v>
      </c>
      <c r="G350" s="15">
        <v>77625</v>
      </c>
    </row>
    <row r="351" ht="51" spans="1:7">
      <c r="A351" s="13" t="s">
        <v>1312</v>
      </c>
      <c r="B351" s="13" t="s">
        <v>1313</v>
      </c>
      <c r="C351" s="13" t="s">
        <v>1314</v>
      </c>
      <c r="D351" s="13" t="s">
        <v>1315</v>
      </c>
      <c r="E351" s="14" t="s">
        <v>126</v>
      </c>
      <c r="F351" s="15">
        <v>11625</v>
      </c>
      <c r="G351" s="15">
        <v>5602.5</v>
      </c>
    </row>
    <row r="352" ht="51" spans="1:7">
      <c r="A352" s="13" t="s">
        <v>1316</v>
      </c>
      <c r="B352" s="13" t="s">
        <v>1317</v>
      </c>
      <c r="C352" s="13" t="s">
        <v>1318</v>
      </c>
      <c r="D352" s="13" t="s">
        <v>1319</v>
      </c>
      <c r="E352" s="14" t="s">
        <v>126</v>
      </c>
      <c r="F352" s="15">
        <v>11617.5</v>
      </c>
      <c r="G352" s="15">
        <v>5812.5</v>
      </c>
    </row>
    <row r="353" ht="38.25" spans="1:7">
      <c r="A353" s="13" t="s">
        <v>1320</v>
      </c>
      <c r="B353" s="13" t="s">
        <v>1321</v>
      </c>
      <c r="C353" s="13" t="s">
        <v>1322</v>
      </c>
      <c r="D353" s="13" t="s">
        <v>1323</v>
      </c>
      <c r="E353" s="14" t="s">
        <v>126</v>
      </c>
      <c r="F353" s="15">
        <v>11625</v>
      </c>
      <c r="G353" s="15">
        <v>5745</v>
      </c>
    </row>
    <row r="354" ht="38.25" spans="1:7">
      <c r="A354" s="13" t="s">
        <v>1324</v>
      </c>
      <c r="B354" s="13" t="s">
        <v>1325</v>
      </c>
      <c r="C354" s="13" t="s">
        <v>1326</v>
      </c>
      <c r="D354" s="13" t="s">
        <v>1327</v>
      </c>
      <c r="E354" s="14" t="s">
        <v>215</v>
      </c>
      <c r="F354" s="15">
        <v>1004250</v>
      </c>
      <c r="G354" s="15">
        <v>433575</v>
      </c>
    </row>
    <row r="355" ht="38.25" spans="1:7">
      <c r="A355" s="13" t="s">
        <v>1328</v>
      </c>
      <c r="B355" s="13" t="s">
        <v>1329</v>
      </c>
      <c r="C355" s="13" t="s">
        <v>1330</v>
      </c>
      <c r="D355" s="13" t="s">
        <v>1331</v>
      </c>
      <c r="E355" s="14" t="s">
        <v>215</v>
      </c>
      <c r="F355" s="15">
        <v>1635000</v>
      </c>
      <c r="G355" s="15">
        <v>542700</v>
      </c>
    </row>
    <row r="356" ht="102" spans="1:7">
      <c r="A356" s="13" t="s">
        <v>1332</v>
      </c>
      <c r="B356" s="13" t="s">
        <v>1333</v>
      </c>
      <c r="C356" s="13" t="s">
        <v>1334</v>
      </c>
      <c r="D356" s="13" t="s">
        <v>1335</v>
      </c>
      <c r="E356" s="14" t="s">
        <v>664</v>
      </c>
      <c r="F356" s="15">
        <v>732525</v>
      </c>
      <c r="G356" s="15">
        <v>168525</v>
      </c>
    </row>
    <row r="357" ht="102" spans="1:7">
      <c r="A357" s="13" t="s">
        <v>1336</v>
      </c>
      <c r="B357" s="13" t="s">
        <v>1337</v>
      </c>
      <c r="C357" s="13" t="s">
        <v>1338</v>
      </c>
      <c r="D357" s="13" t="s">
        <v>1339</v>
      </c>
      <c r="E357" s="14" t="s">
        <v>664</v>
      </c>
      <c r="F357" s="15">
        <v>816000</v>
      </c>
      <c r="G357" s="15">
        <v>168525</v>
      </c>
    </row>
    <row r="358" ht="63.75" spans="1:7">
      <c r="A358" s="13" t="s">
        <v>1340</v>
      </c>
      <c r="B358" s="13" t="s">
        <v>1341</v>
      </c>
      <c r="C358" s="13" t="s">
        <v>1342</v>
      </c>
      <c r="D358" s="13" t="s">
        <v>1343</v>
      </c>
      <c r="E358" s="14" t="s">
        <v>706</v>
      </c>
      <c r="F358" s="15">
        <v>749475</v>
      </c>
      <c r="G358" s="15">
        <v>125850</v>
      </c>
    </row>
    <row r="359" ht="51" spans="1:7">
      <c r="A359" s="13" t="s">
        <v>1344</v>
      </c>
      <c r="B359" s="13" t="s">
        <v>1345</v>
      </c>
      <c r="C359" s="13" t="s">
        <v>1346</v>
      </c>
      <c r="D359" s="13" t="s">
        <v>1347</v>
      </c>
      <c r="E359" s="14" t="s">
        <v>215</v>
      </c>
      <c r="F359" s="15">
        <v>922500</v>
      </c>
      <c r="G359" s="15">
        <v>142875</v>
      </c>
    </row>
    <row r="360" ht="89.25" spans="1:7">
      <c r="A360" s="13" t="s">
        <v>1348</v>
      </c>
      <c r="B360" s="13" t="s">
        <v>1349</v>
      </c>
      <c r="C360" s="13" t="s">
        <v>1350</v>
      </c>
      <c r="D360" s="13" t="s">
        <v>1351</v>
      </c>
      <c r="E360" s="14" t="s">
        <v>215</v>
      </c>
      <c r="F360" s="15">
        <v>648300</v>
      </c>
      <c r="G360" s="15">
        <v>142875</v>
      </c>
    </row>
    <row r="361" ht="51" spans="1:7">
      <c r="A361" s="13" t="s">
        <v>1352</v>
      </c>
      <c r="B361" s="13" t="s">
        <v>1353</v>
      </c>
      <c r="C361" s="13" t="s">
        <v>1354</v>
      </c>
      <c r="D361" s="13" t="s">
        <v>1355</v>
      </c>
      <c r="E361" s="14" t="s">
        <v>215</v>
      </c>
      <c r="F361" s="15">
        <v>1237500</v>
      </c>
      <c r="G361" s="15">
        <v>160425</v>
      </c>
    </row>
    <row r="362" ht="140.25" spans="1:7">
      <c r="A362" s="13" t="s">
        <v>1356</v>
      </c>
      <c r="B362" s="13" t="s">
        <v>1357</v>
      </c>
      <c r="C362" s="13" t="s">
        <v>1358</v>
      </c>
      <c r="D362" s="13" t="s">
        <v>1359</v>
      </c>
      <c r="E362" s="14" t="s">
        <v>664</v>
      </c>
      <c r="F362" s="15">
        <v>816000</v>
      </c>
      <c r="G362" s="15">
        <v>166650</v>
      </c>
    </row>
    <row r="363" ht="76.5" spans="1:7">
      <c r="A363" s="13" t="s">
        <v>1360</v>
      </c>
      <c r="B363" s="13" t="s">
        <v>1361</v>
      </c>
      <c r="C363" s="13" t="s">
        <v>1362</v>
      </c>
      <c r="D363" s="13" t="s">
        <v>1363</v>
      </c>
      <c r="E363" s="14" t="s">
        <v>126</v>
      </c>
      <c r="F363" s="15">
        <v>930000</v>
      </c>
      <c r="G363" s="15">
        <v>305550</v>
      </c>
    </row>
    <row r="364" ht="51" spans="1:7">
      <c r="A364" s="13" t="s">
        <v>1364</v>
      </c>
      <c r="B364" s="13"/>
      <c r="C364" s="13" t="s">
        <v>1365</v>
      </c>
      <c r="D364" s="13" t="s">
        <v>1366</v>
      </c>
      <c r="E364" s="14" t="s">
        <v>1256</v>
      </c>
      <c r="F364" s="15">
        <v>0</v>
      </c>
      <c r="G364" s="15">
        <v>0</v>
      </c>
    </row>
    <row r="365" ht="63.75" spans="1:7">
      <c r="A365" s="13" t="s">
        <v>1367</v>
      </c>
      <c r="B365" s="13"/>
      <c r="C365" s="13" t="s">
        <v>1368</v>
      </c>
      <c r="D365" s="13" t="s">
        <v>1369</v>
      </c>
      <c r="E365" s="14" t="s">
        <v>1256</v>
      </c>
      <c r="F365" s="15">
        <v>0</v>
      </c>
      <c r="G365" s="15">
        <v>0</v>
      </c>
    </row>
    <row r="366" spans="1:7">
      <c r="A366" s="13" t="s">
        <v>1370</v>
      </c>
      <c r="B366" s="13"/>
      <c r="C366" s="13" t="s">
        <v>1371</v>
      </c>
      <c r="D366" s="13" t="s">
        <v>1372</v>
      </c>
      <c r="E366" s="14" t="s">
        <v>151</v>
      </c>
      <c r="F366" s="15">
        <v>0</v>
      </c>
      <c r="G366" s="15">
        <v>202.5</v>
      </c>
    </row>
    <row r="367" ht="25.5" spans="1:7">
      <c r="A367" s="13" t="s">
        <v>1373</v>
      </c>
      <c r="B367" s="13"/>
      <c r="C367" s="13" t="s">
        <v>1374</v>
      </c>
      <c r="D367" s="13" t="s">
        <v>1375</v>
      </c>
      <c r="E367" s="14" t="s">
        <v>25</v>
      </c>
      <c r="F367" s="15">
        <v>0</v>
      </c>
      <c r="G367" s="15">
        <v>397.5</v>
      </c>
    </row>
    <row r="368" ht="25.5" spans="1:7">
      <c r="A368" s="13" t="s">
        <v>1376</v>
      </c>
      <c r="B368" s="13"/>
      <c r="C368" s="13" t="s">
        <v>1377</v>
      </c>
      <c r="D368" s="13" t="s">
        <v>1378</v>
      </c>
      <c r="E368" s="14" t="s">
        <v>25</v>
      </c>
      <c r="F368" s="15">
        <v>0</v>
      </c>
      <c r="G368" s="15">
        <v>397.5</v>
      </c>
    </row>
    <row r="369" ht="25.5" spans="1:7">
      <c r="A369" s="13" t="s">
        <v>1379</v>
      </c>
      <c r="B369" s="13"/>
      <c r="C369" s="13" t="s">
        <v>1380</v>
      </c>
      <c r="D369" s="13" t="s">
        <v>1381</v>
      </c>
      <c r="E369" s="14" t="s">
        <v>609</v>
      </c>
      <c r="F369" s="15">
        <v>0</v>
      </c>
      <c r="G369" s="15">
        <v>436350</v>
      </c>
    </row>
    <row r="370" ht="25.5" spans="1:7">
      <c r="A370" s="13" t="s">
        <v>1382</v>
      </c>
      <c r="B370" s="13"/>
      <c r="C370" s="13" t="s">
        <v>1383</v>
      </c>
      <c r="D370" s="13" t="s">
        <v>1384</v>
      </c>
      <c r="E370" s="14" t="s">
        <v>135</v>
      </c>
      <c r="F370" s="15">
        <v>0</v>
      </c>
      <c r="G370" s="15">
        <v>26527.5</v>
      </c>
    </row>
    <row r="371" ht="25.5" spans="1:7">
      <c r="A371" s="13" t="s">
        <v>1385</v>
      </c>
      <c r="B371" s="13"/>
      <c r="C371" s="13" t="s">
        <v>1386</v>
      </c>
      <c r="D371" s="13" t="s">
        <v>741</v>
      </c>
      <c r="E371" s="14" t="s">
        <v>135</v>
      </c>
      <c r="F371" s="15">
        <v>0</v>
      </c>
      <c r="G371" s="15">
        <v>7237.5</v>
      </c>
    </row>
    <row r="372" ht="25.5" spans="1:7">
      <c r="A372" s="13" t="s">
        <v>1387</v>
      </c>
      <c r="B372" s="13"/>
      <c r="C372" s="13" t="s">
        <v>1388</v>
      </c>
      <c r="D372" s="13" t="s">
        <v>1389</v>
      </c>
      <c r="E372" s="14" t="s">
        <v>135</v>
      </c>
      <c r="F372" s="15">
        <v>0</v>
      </c>
      <c r="G372" s="15">
        <v>103500</v>
      </c>
    </row>
    <row r="373" ht="51" spans="1:7">
      <c r="A373" s="13" t="s">
        <v>1390</v>
      </c>
      <c r="B373" s="13" t="s">
        <v>1391</v>
      </c>
      <c r="C373" s="13" t="s">
        <v>1392</v>
      </c>
      <c r="D373" s="13" t="s">
        <v>1393</v>
      </c>
      <c r="E373" s="14" t="s">
        <v>215</v>
      </c>
      <c r="F373" s="15">
        <v>118350</v>
      </c>
      <c r="G373" s="15">
        <v>24532.5</v>
      </c>
    </row>
    <row r="374" ht="51" spans="1:7">
      <c r="A374" s="13" t="s">
        <v>1394</v>
      </c>
      <c r="B374" s="13" t="s">
        <v>1395</v>
      </c>
      <c r="C374" s="13" t="s">
        <v>1396</v>
      </c>
      <c r="D374" s="13" t="s">
        <v>1397</v>
      </c>
      <c r="E374" s="14" t="s">
        <v>215</v>
      </c>
      <c r="F374" s="15">
        <v>132600</v>
      </c>
      <c r="G374" s="15">
        <v>28627.5</v>
      </c>
    </row>
    <row r="375" ht="51" spans="1:7">
      <c r="A375" s="13" t="s">
        <v>1398</v>
      </c>
      <c r="B375" s="13" t="s">
        <v>1399</v>
      </c>
      <c r="C375" s="13" t="s">
        <v>1400</v>
      </c>
      <c r="D375" s="13" t="s">
        <v>1401</v>
      </c>
      <c r="E375" s="14" t="s">
        <v>215</v>
      </c>
      <c r="F375" s="15">
        <v>177000</v>
      </c>
      <c r="G375" s="15">
        <v>32715</v>
      </c>
    </row>
    <row r="376" spans="1:7">
      <c r="A376" s="13" t="s">
        <v>1402</v>
      </c>
      <c r="B376" s="13" t="s">
        <v>1403</v>
      </c>
      <c r="C376" s="13" t="s">
        <v>1404</v>
      </c>
      <c r="D376" s="13" t="s">
        <v>1405</v>
      </c>
      <c r="E376" s="14" t="s">
        <v>135</v>
      </c>
      <c r="F376" s="15">
        <v>5685</v>
      </c>
      <c r="G376" s="15">
        <v>8730</v>
      </c>
    </row>
    <row r="377" ht="51" spans="1:7">
      <c r="A377" s="13" t="s">
        <v>1406</v>
      </c>
      <c r="B377" s="13" t="s">
        <v>1407</v>
      </c>
      <c r="C377" s="13" t="s">
        <v>1408</v>
      </c>
      <c r="D377" s="13" t="s">
        <v>1409</v>
      </c>
      <c r="E377" s="14" t="s">
        <v>126</v>
      </c>
      <c r="F377" s="15">
        <v>578250</v>
      </c>
      <c r="G377" s="15">
        <v>23640</v>
      </c>
    </row>
    <row r="378" ht="51" spans="1:7">
      <c r="A378" s="13" t="s">
        <v>1410</v>
      </c>
      <c r="B378" s="13" t="s">
        <v>1411</v>
      </c>
      <c r="C378" s="13" t="s">
        <v>1412</v>
      </c>
      <c r="D378" s="13" t="s">
        <v>1413</v>
      </c>
      <c r="E378" s="14" t="s">
        <v>126</v>
      </c>
      <c r="F378" s="15">
        <v>340500</v>
      </c>
      <c r="G378" s="15">
        <v>23640</v>
      </c>
    </row>
    <row r="379" ht="51" spans="1:7">
      <c r="A379" s="13" t="s">
        <v>1414</v>
      </c>
      <c r="B379" s="13" t="s">
        <v>1415</v>
      </c>
      <c r="C379" s="13" t="s">
        <v>1416</v>
      </c>
      <c r="D379" s="13" t="s">
        <v>1417</v>
      </c>
      <c r="E379" s="14" t="s">
        <v>126</v>
      </c>
      <c r="F379" s="15">
        <v>1068750</v>
      </c>
      <c r="G379" s="15">
        <v>23640</v>
      </c>
    </row>
    <row r="380" ht="51" spans="1:7">
      <c r="A380" s="13" t="s">
        <v>1418</v>
      </c>
      <c r="B380" s="13" t="s">
        <v>1419</v>
      </c>
      <c r="C380" s="13" t="s">
        <v>1420</v>
      </c>
      <c r="D380" s="13" t="s">
        <v>1421</v>
      </c>
      <c r="E380" s="14" t="s">
        <v>126</v>
      </c>
      <c r="F380" s="15">
        <v>378450</v>
      </c>
      <c r="G380" s="15">
        <v>23640</v>
      </c>
    </row>
    <row r="381" ht="51" spans="1:7">
      <c r="A381" s="13" t="s">
        <v>1422</v>
      </c>
      <c r="B381" s="13" t="s">
        <v>1423</v>
      </c>
      <c r="C381" s="13" t="s">
        <v>1424</v>
      </c>
      <c r="D381" s="13" t="s">
        <v>1425</v>
      </c>
      <c r="E381" s="14" t="s">
        <v>126</v>
      </c>
      <c r="F381" s="15">
        <v>441300</v>
      </c>
      <c r="G381" s="15">
        <v>23640</v>
      </c>
    </row>
    <row r="382" spans="1:7">
      <c r="A382" s="13" t="s">
        <v>1426</v>
      </c>
      <c r="B382" s="13"/>
      <c r="C382" s="13" t="s">
        <v>1427</v>
      </c>
      <c r="D382" s="13" t="s">
        <v>1428</v>
      </c>
      <c r="E382" s="14" t="s">
        <v>928</v>
      </c>
      <c r="F382" s="15">
        <v>0</v>
      </c>
      <c r="G382" s="15">
        <v>5135250</v>
      </c>
    </row>
    <row r="383" ht="51" spans="1:7">
      <c r="A383" s="13" t="s">
        <v>1429</v>
      </c>
      <c r="B383" s="13" t="s">
        <v>1430</v>
      </c>
      <c r="C383" s="13" t="s">
        <v>1431</v>
      </c>
      <c r="D383" s="13" t="s">
        <v>1432</v>
      </c>
      <c r="E383" s="14" t="s">
        <v>126</v>
      </c>
      <c r="F383" s="15">
        <v>187050</v>
      </c>
      <c r="G383" s="15">
        <v>26370</v>
      </c>
    </row>
    <row r="384" ht="51" spans="1:7">
      <c r="A384" s="13" t="s">
        <v>1433</v>
      </c>
      <c r="B384" s="13" t="s">
        <v>1434</v>
      </c>
      <c r="C384" s="13" t="s">
        <v>1435</v>
      </c>
      <c r="D384" s="13" t="s">
        <v>1436</v>
      </c>
      <c r="E384" s="14" t="s">
        <v>126</v>
      </c>
      <c r="F384" s="15">
        <v>79125</v>
      </c>
      <c r="G384" s="15">
        <v>10800</v>
      </c>
    </row>
    <row r="385" ht="25.5" spans="1:7">
      <c r="A385" s="13" t="s">
        <v>1437</v>
      </c>
      <c r="B385" s="13" t="s">
        <v>1438</v>
      </c>
      <c r="C385" s="13" t="s">
        <v>1439</v>
      </c>
      <c r="D385" s="13" t="s">
        <v>1440</v>
      </c>
      <c r="E385" s="14" t="s">
        <v>225</v>
      </c>
      <c r="F385" s="15">
        <v>66292.5</v>
      </c>
      <c r="G385" s="15">
        <v>11640</v>
      </c>
    </row>
    <row r="386" ht="63.75" spans="1:7">
      <c r="A386" s="13" t="s">
        <v>1441</v>
      </c>
      <c r="B386" s="13" t="s">
        <v>1442</v>
      </c>
      <c r="C386" s="13" t="s">
        <v>1443</v>
      </c>
      <c r="D386" s="13" t="s">
        <v>1444</v>
      </c>
      <c r="E386" s="14" t="s">
        <v>126</v>
      </c>
      <c r="F386" s="15">
        <v>145500</v>
      </c>
      <c r="G386" s="15">
        <v>109500</v>
      </c>
    </row>
    <row r="387" ht="63.75" spans="1:7">
      <c r="A387" s="13" t="s">
        <v>1445</v>
      </c>
      <c r="B387" s="13" t="s">
        <v>1446</v>
      </c>
      <c r="C387" s="13" t="s">
        <v>1447</v>
      </c>
      <c r="D387" s="13" t="s">
        <v>1448</v>
      </c>
      <c r="E387" s="14" t="s">
        <v>126</v>
      </c>
      <c r="F387" s="15">
        <v>158925</v>
      </c>
      <c r="G387" s="15">
        <v>118275</v>
      </c>
    </row>
    <row r="388" ht="63.75" spans="1:7">
      <c r="A388" s="13" t="s">
        <v>1449</v>
      </c>
      <c r="B388" s="13" t="s">
        <v>1450</v>
      </c>
      <c r="C388" s="13" t="s">
        <v>1451</v>
      </c>
      <c r="D388" s="13" t="s">
        <v>1452</v>
      </c>
      <c r="E388" s="14" t="s">
        <v>126</v>
      </c>
      <c r="F388" s="15">
        <v>443925</v>
      </c>
      <c r="G388" s="15">
        <v>130125</v>
      </c>
    </row>
    <row r="389" ht="63.75" spans="1:7">
      <c r="A389" s="13" t="s">
        <v>1453</v>
      </c>
      <c r="B389" s="13" t="s">
        <v>1454</v>
      </c>
      <c r="C389" s="13" t="s">
        <v>1455</v>
      </c>
      <c r="D389" s="13" t="s">
        <v>1456</v>
      </c>
      <c r="E389" s="14" t="s">
        <v>126</v>
      </c>
      <c r="F389" s="15">
        <v>371625</v>
      </c>
      <c r="G389" s="15">
        <v>143100</v>
      </c>
    </row>
    <row r="390" ht="38.25" spans="1:7">
      <c r="A390" s="13" t="s">
        <v>1457</v>
      </c>
      <c r="B390" s="13" t="s">
        <v>1458</v>
      </c>
      <c r="C390" s="13" t="s">
        <v>1459</v>
      </c>
      <c r="D390" s="13" t="s">
        <v>1460</v>
      </c>
      <c r="E390" s="14" t="s">
        <v>126</v>
      </c>
      <c r="F390" s="15">
        <v>6172.5</v>
      </c>
      <c r="G390" s="15">
        <v>4155</v>
      </c>
    </row>
    <row r="391" ht="25.5" spans="1:7">
      <c r="A391" s="13" t="s">
        <v>1461</v>
      </c>
      <c r="B391" s="13"/>
      <c r="C391" s="13" t="s">
        <v>1462</v>
      </c>
      <c r="D391" s="13" t="s">
        <v>1463</v>
      </c>
      <c r="E391" s="14" t="s">
        <v>644</v>
      </c>
      <c r="F391" s="15">
        <v>0</v>
      </c>
      <c r="G391" s="15">
        <v>128850</v>
      </c>
    </row>
    <row r="392" spans="1:7">
      <c r="A392" s="13" t="s">
        <v>1464</v>
      </c>
      <c r="B392" s="13" t="s">
        <v>1465</v>
      </c>
      <c r="C392" s="13" t="s">
        <v>1466</v>
      </c>
      <c r="D392" s="13" t="s">
        <v>1467</v>
      </c>
      <c r="E392" s="14" t="s">
        <v>135</v>
      </c>
      <c r="F392" s="15">
        <v>19680</v>
      </c>
      <c r="G392" s="15">
        <v>10185</v>
      </c>
    </row>
    <row r="393" ht="38.25" spans="1:7">
      <c r="A393" s="13" t="s">
        <v>1468</v>
      </c>
      <c r="B393" s="13" t="s">
        <v>1469</v>
      </c>
      <c r="C393" s="13" t="s">
        <v>1470</v>
      </c>
      <c r="D393" s="13" t="s">
        <v>1471</v>
      </c>
      <c r="E393" s="14" t="s">
        <v>126</v>
      </c>
      <c r="F393" s="15">
        <v>15780</v>
      </c>
      <c r="G393" s="15">
        <v>10162.5</v>
      </c>
    </row>
    <row r="394" ht="25.5" spans="1:7">
      <c r="A394" s="13" t="s">
        <v>1472</v>
      </c>
      <c r="B394" s="13" t="s">
        <v>1473</v>
      </c>
      <c r="C394" s="13" t="s">
        <v>1474</v>
      </c>
      <c r="D394" s="13" t="s">
        <v>1475</v>
      </c>
      <c r="E394" s="14" t="s">
        <v>135</v>
      </c>
      <c r="F394" s="15">
        <v>11992.5</v>
      </c>
      <c r="G394" s="15">
        <v>6562.5</v>
      </c>
    </row>
    <row r="395" ht="25.5" spans="1:7">
      <c r="A395" s="13" t="s">
        <v>1476</v>
      </c>
      <c r="B395" s="13" t="s">
        <v>1477</v>
      </c>
      <c r="C395" s="13" t="s">
        <v>1478</v>
      </c>
      <c r="D395" s="13" t="s">
        <v>1479</v>
      </c>
      <c r="E395" s="14" t="s">
        <v>135</v>
      </c>
      <c r="F395" s="15">
        <v>20880</v>
      </c>
      <c r="G395" s="15">
        <v>10252.5</v>
      </c>
    </row>
    <row r="396" ht="25.5" spans="1:7">
      <c r="A396" s="13" t="s">
        <v>1480</v>
      </c>
      <c r="B396" s="13" t="s">
        <v>1481</v>
      </c>
      <c r="C396" s="13" t="s">
        <v>1482</v>
      </c>
      <c r="D396" s="13" t="s">
        <v>1483</v>
      </c>
      <c r="E396" s="14" t="s">
        <v>215</v>
      </c>
      <c r="F396" s="15">
        <v>27352.5</v>
      </c>
      <c r="G396" s="15">
        <v>9045</v>
      </c>
    </row>
    <row r="397" ht="63.75" spans="1:7">
      <c r="A397" s="13" t="s">
        <v>1484</v>
      </c>
      <c r="B397" s="13" t="s">
        <v>1485</v>
      </c>
      <c r="C397" s="13" t="s">
        <v>1486</v>
      </c>
      <c r="D397" s="13" t="s">
        <v>1487</v>
      </c>
      <c r="E397" s="14" t="s">
        <v>126</v>
      </c>
      <c r="F397" s="15">
        <v>160875</v>
      </c>
      <c r="G397" s="15">
        <v>42195</v>
      </c>
    </row>
    <row r="398" spans="1:7">
      <c r="A398" s="13" t="s">
        <v>1488</v>
      </c>
      <c r="B398" s="13" t="s">
        <v>1489</v>
      </c>
      <c r="C398" s="13" t="s">
        <v>1490</v>
      </c>
      <c r="D398" s="13" t="s">
        <v>1491</v>
      </c>
      <c r="E398" s="14" t="s">
        <v>25</v>
      </c>
      <c r="F398" s="15">
        <v>3675</v>
      </c>
      <c r="G398" s="15">
        <v>562.5</v>
      </c>
    </row>
    <row r="399" ht="38.25" spans="1:7">
      <c r="A399" s="13" t="s">
        <v>1492</v>
      </c>
      <c r="B399" s="13" t="s">
        <v>1493</v>
      </c>
      <c r="C399" s="13" t="s">
        <v>1494</v>
      </c>
      <c r="D399" s="13" t="s">
        <v>1495</v>
      </c>
      <c r="E399" s="14" t="s">
        <v>151</v>
      </c>
      <c r="F399" s="15">
        <v>13485</v>
      </c>
      <c r="G399" s="15">
        <v>2617.5</v>
      </c>
    </row>
    <row r="400" ht="89.25" spans="1:7">
      <c r="A400" s="16" t="s">
        <v>1496</v>
      </c>
      <c r="B400" s="13" t="s">
        <v>1497</v>
      </c>
      <c r="C400" s="13" t="s">
        <v>1498</v>
      </c>
      <c r="D400" s="16" t="s">
        <v>143</v>
      </c>
      <c r="E400" s="17" t="s">
        <v>126</v>
      </c>
      <c r="F400" s="15">
        <v>426150</v>
      </c>
      <c r="G400" s="15">
        <v>203700</v>
      </c>
    </row>
    <row r="401" ht="76.5" spans="1:7">
      <c r="A401" s="13" t="s">
        <v>1499</v>
      </c>
      <c r="B401" s="13" t="s">
        <v>1500</v>
      </c>
      <c r="C401" s="13" t="s">
        <v>1501</v>
      </c>
      <c r="D401" s="13" t="s">
        <v>1502</v>
      </c>
      <c r="E401" s="14" t="s">
        <v>126</v>
      </c>
      <c r="F401" s="15">
        <v>4635000</v>
      </c>
      <c r="G401" s="15">
        <v>62790</v>
      </c>
    </row>
    <row r="402" ht="89.25" spans="1:7">
      <c r="A402" s="13" t="s">
        <v>1503</v>
      </c>
      <c r="B402" s="13" t="s">
        <v>1504</v>
      </c>
      <c r="C402" s="13" t="s">
        <v>1505</v>
      </c>
      <c r="D402" s="13" t="s">
        <v>1506</v>
      </c>
      <c r="E402" s="14" t="s">
        <v>126</v>
      </c>
      <c r="F402" s="15">
        <v>609000</v>
      </c>
      <c r="G402" s="15">
        <v>472875</v>
      </c>
    </row>
    <row r="403" ht="89.25" spans="1:7">
      <c r="A403" s="13" t="s">
        <v>1507</v>
      </c>
      <c r="B403" s="13" t="s">
        <v>1508</v>
      </c>
      <c r="C403" s="13" t="s">
        <v>1509</v>
      </c>
      <c r="D403" s="13" t="s">
        <v>1510</v>
      </c>
      <c r="E403" s="14" t="s">
        <v>126</v>
      </c>
      <c r="F403" s="15">
        <v>1219500</v>
      </c>
      <c r="G403" s="15">
        <v>1345500</v>
      </c>
    </row>
    <row r="404" ht="89.25" spans="1:7">
      <c r="A404" s="13" t="s">
        <v>1511</v>
      </c>
      <c r="B404" s="13" t="s">
        <v>1512</v>
      </c>
      <c r="C404" s="13" t="s">
        <v>1513</v>
      </c>
      <c r="D404" s="13" t="s">
        <v>1514</v>
      </c>
      <c r="E404" s="14" t="s">
        <v>126</v>
      </c>
      <c r="F404" s="15">
        <v>2745000</v>
      </c>
      <c r="G404" s="15">
        <v>4108500</v>
      </c>
    </row>
    <row r="405" ht="38.25" spans="1:7">
      <c r="A405" s="13" t="s">
        <v>1515</v>
      </c>
      <c r="B405" s="13" t="s">
        <v>1516</v>
      </c>
      <c r="C405" s="13" t="s">
        <v>1517</v>
      </c>
      <c r="D405" s="13" t="s">
        <v>1518</v>
      </c>
      <c r="E405" s="14" t="s">
        <v>151</v>
      </c>
      <c r="F405" s="15">
        <v>73875</v>
      </c>
      <c r="G405" s="15">
        <v>29400</v>
      </c>
    </row>
    <row r="406" ht="38.25" spans="1:7">
      <c r="A406" s="13" t="s">
        <v>1519</v>
      </c>
      <c r="B406" s="13" t="s">
        <v>1520</v>
      </c>
      <c r="C406" s="13" t="s">
        <v>1521</v>
      </c>
      <c r="D406" s="13" t="s">
        <v>1522</v>
      </c>
      <c r="E406" s="14" t="s">
        <v>151</v>
      </c>
      <c r="F406" s="15">
        <v>88875</v>
      </c>
      <c r="G406" s="15">
        <v>29400</v>
      </c>
    </row>
    <row r="407" ht="38.25" spans="1:7">
      <c r="A407" s="13" t="s">
        <v>1523</v>
      </c>
      <c r="B407" s="13" t="s">
        <v>1524</v>
      </c>
      <c r="C407" s="13" t="s">
        <v>1525</v>
      </c>
      <c r="D407" s="13" t="s">
        <v>1526</v>
      </c>
      <c r="E407" s="14" t="s">
        <v>151</v>
      </c>
      <c r="F407" s="15">
        <v>36900</v>
      </c>
      <c r="G407" s="15">
        <v>30915</v>
      </c>
    </row>
    <row r="408" ht="38.25" spans="1:7">
      <c r="A408" s="13" t="s">
        <v>1527</v>
      </c>
      <c r="B408" s="13" t="s">
        <v>1528</v>
      </c>
      <c r="C408" s="13" t="s">
        <v>1529</v>
      </c>
      <c r="D408" s="13" t="s">
        <v>1530</v>
      </c>
      <c r="E408" s="14" t="s">
        <v>151</v>
      </c>
      <c r="F408" s="15">
        <v>56250</v>
      </c>
      <c r="G408" s="15">
        <v>30915</v>
      </c>
    </row>
    <row r="409" ht="38.25" spans="1:7">
      <c r="A409" s="13" t="s">
        <v>1531</v>
      </c>
      <c r="B409" s="13" t="s">
        <v>1532</v>
      </c>
      <c r="C409" s="13" t="s">
        <v>1533</v>
      </c>
      <c r="D409" s="13" t="s">
        <v>1534</v>
      </c>
      <c r="E409" s="14" t="s">
        <v>151</v>
      </c>
      <c r="F409" s="15">
        <v>90000</v>
      </c>
      <c r="G409" s="15">
        <v>30915</v>
      </c>
    </row>
    <row r="410" ht="51" spans="1:7">
      <c r="A410" s="13" t="s">
        <v>1535</v>
      </c>
      <c r="B410" s="13" t="s">
        <v>1536</v>
      </c>
      <c r="C410" s="13" t="s">
        <v>1537</v>
      </c>
      <c r="D410" s="13" t="s">
        <v>1538</v>
      </c>
      <c r="E410" s="14" t="s">
        <v>25</v>
      </c>
      <c r="F410" s="15">
        <v>17272.5</v>
      </c>
      <c r="G410" s="15">
        <v>30915</v>
      </c>
    </row>
    <row r="411" spans="1:7">
      <c r="A411" s="13" t="s">
        <v>1539</v>
      </c>
      <c r="B411" s="13" t="s">
        <v>1540</v>
      </c>
      <c r="C411" s="13" t="s">
        <v>1541</v>
      </c>
      <c r="D411" s="13" t="s">
        <v>1542</v>
      </c>
      <c r="E411" s="14" t="s">
        <v>126</v>
      </c>
      <c r="F411" s="15">
        <v>1290</v>
      </c>
      <c r="G411" s="15">
        <v>3270</v>
      </c>
    </row>
    <row r="412" ht="25.5" spans="1:7">
      <c r="A412" s="13" t="s">
        <v>1543</v>
      </c>
      <c r="B412" s="13" t="s">
        <v>1544</v>
      </c>
      <c r="C412" s="13" t="s">
        <v>1545</v>
      </c>
      <c r="D412" s="13" t="s">
        <v>1546</v>
      </c>
      <c r="E412" s="14" t="s">
        <v>215</v>
      </c>
      <c r="F412" s="15">
        <v>816000</v>
      </c>
      <c r="G412" s="15">
        <v>301875</v>
      </c>
    </row>
    <row r="413" spans="1:7">
      <c r="A413" s="13" t="s">
        <v>1547</v>
      </c>
      <c r="B413" s="13" t="s">
        <v>1548</v>
      </c>
      <c r="C413" s="13" t="s">
        <v>1549</v>
      </c>
      <c r="D413" s="13" t="s">
        <v>1550</v>
      </c>
      <c r="E413" s="14" t="s">
        <v>25</v>
      </c>
      <c r="F413" s="15">
        <v>4020</v>
      </c>
      <c r="G413" s="15">
        <v>525</v>
      </c>
    </row>
    <row r="414" ht="51" spans="1:7">
      <c r="A414" s="13" t="s">
        <v>1551</v>
      </c>
      <c r="B414" s="13" t="s">
        <v>1552</v>
      </c>
      <c r="C414" s="13" t="s">
        <v>1553</v>
      </c>
      <c r="D414" s="13" t="s">
        <v>1554</v>
      </c>
      <c r="E414" s="14" t="s">
        <v>648</v>
      </c>
      <c r="F414" s="15">
        <v>35700</v>
      </c>
      <c r="G414" s="15">
        <v>27735</v>
      </c>
    </row>
    <row r="415" ht="76.5" spans="1:7">
      <c r="A415" s="13" t="s">
        <v>1555</v>
      </c>
      <c r="B415" s="13"/>
      <c r="C415" s="13" t="s">
        <v>1556</v>
      </c>
      <c r="D415" s="13" t="s">
        <v>1557</v>
      </c>
      <c r="E415" s="14" t="s">
        <v>1558</v>
      </c>
      <c r="F415" s="15">
        <v>0</v>
      </c>
      <c r="G415" s="15">
        <v>117300</v>
      </c>
    </row>
    <row r="416" spans="1:7">
      <c r="A416" s="18"/>
      <c r="B416" s="18"/>
      <c r="C416" s="18"/>
      <c r="D416" s="19" t="s">
        <v>11</v>
      </c>
      <c r="E416" s="20"/>
      <c r="F416" s="21"/>
      <c r="G416" s="21"/>
    </row>
    <row r="417" spans="1:7">
      <c r="A417" s="18"/>
      <c r="B417" s="18"/>
      <c r="C417" s="18"/>
      <c r="D417" s="19" t="s">
        <v>12</v>
      </c>
      <c r="E417" s="20"/>
      <c r="F417" s="21"/>
      <c r="G417" s="21"/>
    </row>
    <row r="418" spans="1:7">
      <c r="A418" s="18"/>
      <c r="B418" s="18"/>
      <c r="C418" s="18"/>
      <c r="D418" s="19" t="s">
        <v>13</v>
      </c>
      <c r="E418" s="20"/>
      <c r="F418" s="21"/>
      <c r="G418" s="21"/>
    </row>
    <row r="421" spans="1:7">
      <c r="G421" s="2" t="s">
        <v>1561</v>
      </c>
    </row>
  </sheetData>
  <mergeCells count="11">
    <mergeCell ref="F1:G1"/>
    <mergeCell ref="F2:G2"/>
    <mergeCell ref="F3:G3"/>
    <mergeCell ref="D416:E416"/>
    <mergeCell ref="D417:E417"/>
    <mergeCell ref="D418:E418"/>
    <mergeCell ref="A3:A4"/>
    <mergeCell ref="B3:B4"/>
    <mergeCell ref="C3:C4"/>
    <mergeCell ref="D3:D4"/>
    <mergeCell ref="E3:E4"/>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421"/>
  <sheetViews>
    <sheetView workbookViewId="0">
      <selection activeCell="H9" sqref="H9"/>
    </sheetView>
  </sheetViews>
  <sheetFormatPr defaultColWidth="8.88571428571429" defaultRowHeight="15" outlineLevelCol="6"/>
  <cols>
    <col min="1" max="2" width="15.2666666666667" style="2" customWidth="1"/>
    <col min="3" max="3" width="10.5047619047619" style="2" customWidth="1"/>
    <col min="4" max="4" width="26.2666666666667" style="2" customWidth="1"/>
    <col min="5" max="5" width="8.17142857142857" style="2" customWidth="1"/>
    <col min="6" max="7" width="12.2666666666667" style="2" customWidth="1"/>
  </cols>
  <sheetData>
    <row r="1" s="1" customFormat="1" spans="1:7">
      <c r="A1" s="3"/>
      <c r="B1" s="3"/>
      <c r="C1" s="3"/>
      <c r="D1" s="3"/>
      <c r="E1" s="3"/>
      <c r="F1" s="4"/>
      <c r="G1" s="4"/>
    </row>
    <row r="2" s="1" customFormat="1" spans="1:7">
      <c r="A2" s="3"/>
      <c r="B2" s="3"/>
      <c r="C2" s="3"/>
      <c r="D2" s="3"/>
      <c r="E2" s="3"/>
      <c r="F2" s="5" t="s">
        <v>1562</v>
      </c>
      <c r="G2" s="5"/>
    </row>
    <row r="3" spans="1:7">
      <c r="A3" s="6" t="s">
        <v>15</v>
      </c>
      <c r="B3" s="6" t="s">
        <v>16</v>
      </c>
      <c r="C3" s="6" t="s">
        <v>17</v>
      </c>
      <c r="D3" s="6" t="s">
        <v>18</v>
      </c>
      <c r="E3" s="7" t="s">
        <v>19</v>
      </c>
      <c r="F3" s="8" t="s">
        <v>1560</v>
      </c>
      <c r="G3" s="8"/>
    </row>
    <row r="4" ht="15.75" spans="1:7">
      <c r="A4" s="9"/>
      <c r="B4" s="9"/>
      <c r="C4" s="9"/>
      <c r="D4" s="9"/>
      <c r="E4" s="9"/>
      <c r="F4" s="10" t="s">
        <v>11</v>
      </c>
      <c r="G4" s="10" t="s">
        <v>12</v>
      </c>
    </row>
    <row r="5" ht="15.75" spans="1:7">
      <c r="A5" s="11"/>
      <c r="B5" s="11"/>
      <c r="C5" s="11"/>
      <c r="D5" s="11"/>
      <c r="E5" s="11"/>
      <c r="F5" s="12"/>
      <c r="G5" s="12"/>
    </row>
    <row r="6" ht="38.25" spans="1:7">
      <c r="A6" s="13" t="s">
        <v>21</v>
      </c>
      <c r="B6" s="13" t="s">
        <v>22</v>
      </c>
      <c r="C6" s="13" t="s">
        <v>23</v>
      </c>
      <c r="D6" s="13" t="s">
        <v>24</v>
      </c>
      <c r="E6" s="14" t="s">
        <v>25</v>
      </c>
      <c r="F6" s="15"/>
      <c r="G6" s="15"/>
    </row>
    <row r="7" ht="38.25" spans="1:7">
      <c r="A7" s="13" t="s">
        <v>26</v>
      </c>
      <c r="B7" s="13" t="s">
        <v>27</v>
      </c>
      <c r="C7" s="13" t="s">
        <v>28</v>
      </c>
      <c r="D7" s="13" t="s">
        <v>29</v>
      </c>
      <c r="E7" s="14" t="s">
        <v>25</v>
      </c>
      <c r="F7" s="15"/>
      <c r="G7" s="15"/>
    </row>
    <row r="8" ht="38.25" spans="1:7">
      <c r="A8" s="13" t="s">
        <v>30</v>
      </c>
      <c r="B8" s="13" t="s">
        <v>31</v>
      </c>
      <c r="C8" s="13" t="s">
        <v>32</v>
      </c>
      <c r="D8" s="13" t="s">
        <v>33</v>
      </c>
      <c r="E8" s="14" t="s">
        <v>25</v>
      </c>
      <c r="F8" s="15"/>
      <c r="G8" s="15"/>
    </row>
    <row r="9" ht="38.25" spans="1:7">
      <c r="A9" s="13" t="s">
        <v>34</v>
      </c>
      <c r="B9" s="13" t="s">
        <v>35</v>
      </c>
      <c r="C9" s="13" t="s">
        <v>36</v>
      </c>
      <c r="D9" s="13" t="s">
        <v>37</v>
      </c>
      <c r="E9" s="14" t="s">
        <v>25</v>
      </c>
      <c r="F9" s="15"/>
      <c r="G9" s="15"/>
    </row>
    <row r="10" ht="38.25" spans="1:7">
      <c r="A10" s="13" t="s">
        <v>38</v>
      </c>
      <c r="B10" s="13" t="s">
        <v>39</v>
      </c>
      <c r="C10" s="13" t="s">
        <v>40</v>
      </c>
      <c r="D10" s="13" t="s">
        <v>41</v>
      </c>
      <c r="E10" s="14" t="s">
        <v>25</v>
      </c>
      <c r="F10" s="15"/>
      <c r="G10" s="15"/>
    </row>
    <row r="11" ht="38.25" spans="1:7">
      <c r="A11" s="13" t="s">
        <v>42</v>
      </c>
      <c r="B11" s="13" t="s">
        <v>43</v>
      </c>
      <c r="C11" s="13" t="s">
        <v>44</v>
      </c>
      <c r="D11" s="13" t="s">
        <v>45</v>
      </c>
      <c r="E11" s="14" t="s">
        <v>25</v>
      </c>
      <c r="F11" s="15"/>
      <c r="G11" s="15"/>
    </row>
    <row r="12" ht="38.25" spans="1:7">
      <c r="A12" s="13" t="s">
        <v>46</v>
      </c>
      <c r="B12" s="13" t="s">
        <v>47</v>
      </c>
      <c r="C12" s="13" t="s">
        <v>48</v>
      </c>
      <c r="D12" s="13" t="s">
        <v>49</v>
      </c>
      <c r="E12" s="14" t="s">
        <v>25</v>
      </c>
      <c r="F12" s="15"/>
      <c r="G12" s="15"/>
    </row>
    <row r="13" ht="38.25" spans="1:7">
      <c r="A13" s="13" t="s">
        <v>50</v>
      </c>
      <c r="B13" s="13" t="s">
        <v>51</v>
      </c>
      <c r="C13" s="13" t="s">
        <v>52</v>
      </c>
      <c r="D13" s="13" t="s">
        <v>53</v>
      </c>
      <c r="E13" s="14" t="s">
        <v>25</v>
      </c>
      <c r="F13" s="15"/>
      <c r="G13" s="15"/>
    </row>
    <row r="14" ht="38.25" spans="1:7">
      <c r="A14" s="13" t="s">
        <v>54</v>
      </c>
      <c r="B14" s="13" t="s">
        <v>55</v>
      </c>
      <c r="C14" s="13" t="s">
        <v>56</v>
      </c>
      <c r="D14" s="13" t="s">
        <v>57</v>
      </c>
      <c r="E14" s="14" t="s">
        <v>25</v>
      </c>
      <c r="F14" s="15"/>
      <c r="G14" s="15"/>
    </row>
    <row r="15" ht="38.25" spans="1:7">
      <c r="A15" s="13" t="s">
        <v>58</v>
      </c>
      <c r="B15" s="13" t="s">
        <v>59</v>
      </c>
      <c r="C15" s="13" t="s">
        <v>60</v>
      </c>
      <c r="D15" s="13" t="s">
        <v>61</v>
      </c>
      <c r="E15" s="14" t="s">
        <v>25</v>
      </c>
      <c r="F15" s="15"/>
      <c r="G15" s="15"/>
    </row>
    <row r="16" ht="51" spans="1:7">
      <c r="A16" s="13" t="s">
        <v>62</v>
      </c>
      <c r="B16" s="13" t="s">
        <v>63</v>
      </c>
      <c r="C16" s="13" t="s">
        <v>64</v>
      </c>
      <c r="D16" s="13" t="s">
        <v>65</v>
      </c>
      <c r="E16" s="14" t="s">
        <v>25</v>
      </c>
      <c r="F16" s="15"/>
      <c r="G16" s="15"/>
    </row>
    <row r="17" ht="51" spans="1:7">
      <c r="A17" s="13" t="s">
        <v>66</v>
      </c>
      <c r="B17" s="13" t="s">
        <v>67</v>
      </c>
      <c r="C17" s="13" t="s">
        <v>68</v>
      </c>
      <c r="D17" s="13" t="s">
        <v>69</v>
      </c>
      <c r="E17" s="14" t="s">
        <v>25</v>
      </c>
      <c r="F17" s="15"/>
      <c r="G17" s="15"/>
    </row>
    <row r="18" ht="38.25" spans="1:7">
      <c r="A18" s="13" t="s">
        <v>70</v>
      </c>
      <c r="B18" s="13" t="s">
        <v>71</v>
      </c>
      <c r="C18" s="13" t="s">
        <v>72</v>
      </c>
      <c r="D18" s="13" t="s">
        <v>73</v>
      </c>
      <c r="E18" s="14" t="s">
        <v>25</v>
      </c>
      <c r="F18" s="15"/>
      <c r="G18" s="15"/>
    </row>
    <row r="19" ht="38.25" spans="1:7">
      <c r="A19" s="13" t="s">
        <v>74</v>
      </c>
      <c r="B19" s="13" t="s">
        <v>75</v>
      </c>
      <c r="C19" s="13" t="s">
        <v>76</v>
      </c>
      <c r="D19" s="13" t="s">
        <v>77</v>
      </c>
      <c r="E19" s="14" t="s">
        <v>25</v>
      </c>
      <c r="F19" s="15"/>
      <c r="G19" s="15"/>
    </row>
    <row r="20" ht="51" spans="1:7">
      <c r="A20" s="13" t="s">
        <v>78</v>
      </c>
      <c r="B20" s="13" t="s">
        <v>79</v>
      </c>
      <c r="C20" s="13" t="s">
        <v>80</v>
      </c>
      <c r="D20" s="13" t="s">
        <v>81</v>
      </c>
      <c r="E20" s="14" t="s">
        <v>25</v>
      </c>
      <c r="F20" s="15"/>
      <c r="G20" s="15"/>
    </row>
    <row r="21" ht="38.25" spans="1:7">
      <c r="A21" s="13" t="s">
        <v>82</v>
      </c>
      <c r="B21" s="13" t="s">
        <v>83</v>
      </c>
      <c r="C21" s="13" t="s">
        <v>84</v>
      </c>
      <c r="D21" s="13" t="s">
        <v>85</v>
      </c>
      <c r="E21" s="14" t="s">
        <v>25</v>
      </c>
      <c r="F21" s="15"/>
      <c r="G21" s="15"/>
    </row>
    <row r="22" ht="38.25" spans="1:7">
      <c r="A22" s="13" t="s">
        <v>86</v>
      </c>
      <c r="B22" s="13" t="s">
        <v>87</v>
      </c>
      <c r="C22" s="13" t="s">
        <v>88</v>
      </c>
      <c r="D22" s="13" t="s">
        <v>89</v>
      </c>
      <c r="E22" s="14" t="s">
        <v>25</v>
      </c>
      <c r="F22" s="15"/>
      <c r="G22" s="15"/>
    </row>
    <row r="23" ht="38.25" spans="1:7">
      <c r="A23" s="13" t="s">
        <v>90</v>
      </c>
      <c r="B23" s="13" t="s">
        <v>91</v>
      </c>
      <c r="C23" s="13" t="s">
        <v>92</v>
      </c>
      <c r="D23" s="13" t="s">
        <v>93</v>
      </c>
      <c r="E23" s="14" t="s">
        <v>25</v>
      </c>
      <c r="F23" s="15"/>
      <c r="G23" s="15"/>
    </row>
    <row r="24" ht="38.25" spans="1:7">
      <c r="A24" s="13" t="s">
        <v>94</v>
      </c>
      <c r="B24" s="13" t="s">
        <v>95</v>
      </c>
      <c r="C24" s="13" t="s">
        <v>96</v>
      </c>
      <c r="D24" s="13" t="s">
        <v>97</v>
      </c>
      <c r="E24" s="14" t="s">
        <v>25</v>
      </c>
      <c r="F24" s="15"/>
      <c r="G24" s="15"/>
    </row>
    <row r="25" ht="38.25" spans="1:7">
      <c r="A25" s="13" t="s">
        <v>98</v>
      </c>
      <c r="B25" s="13" t="s">
        <v>99</v>
      </c>
      <c r="C25" s="13" t="s">
        <v>100</v>
      </c>
      <c r="D25" s="13" t="s">
        <v>101</v>
      </c>
      <c r="E25" s="14" t="s">
        <v>25</v>
      </c>
      <c r="F25" s="15"/>
      <c r="G25" s="15"/>
    </row>
    <row r="26" ht="38.25" spans="1:7">
      <c r="A26" s="13" t="s">
        <v>102</v>
      </c>
      <c r="B26" s="13" t="s">
        <v>103</v>
      </c>
      <c r="C26" s="13" t="s">
        <v>104</v>
      </c>
      <c r="D26" s="13" t="s">
        <v>105</v>
      </c>
      <c r="E26" s="14" t="s">
        <v>25</v>
      </c>
      <c r="F26" s="15"/>
      <c r="G26" s="15"/>
    </row>
    <row r="27" ht="63.75" spans="1:7">
      <c r="A27" s="13" t="s">
        <v>106</v>
      </c>
      <c r="B27" s="13" t="s">
        <v>107</v>
      </c>
      <c r="C27" s="13" t="s">
        <v>108</v>
      </c>
      <c r="D27" s="13" t="s">
        <v>109</v>
      </c>
      <c r="E27" s="14" t="s">
        <v>25</v>
      </c>
      <c r="F27" s="15"/>
      <c r="G27" s="15"/>
    </row>
    <row r="28" ht="63.75" spans="1:7">
      <c r="A28" s="13" t="s">
        <v>110</v>
      </c>
      <c r="B28" s="13" t="s">
        <v>111</v>
      </c>
      <c r="C28" s="13" t="s">
        <v>112</v>
      </c>
      <c r="D28" s="13" t="s">
        <v>113</v>
      </c>
      <c r="E28" s="14" t="s">
        <v>25</v>
      </c>
      <c r="F28" s="15"/>
      <c r="G28" s="15"/>
    </row>
    <row r="29" ht="63.75" spans="1:7">
      <c r="A29" s="13" t="s">
        <v>114</v>
      </c>
      <c r="B29" s="13" t="s">
        <v>115</v>
      </c>
      <c r="C29" s="13" t="s">
        <v>116</v>
      </c>
      <c r="D29" s="13" t="s">
        <v>117</v>
      </c>
      <c r="E29" s="14" t="s">
        <v>25</v>
      </c>
      <c r="F29" s="15"/>
      <c r="G29" s="15"/>
    </row>
    <row r="30" ht="63.75" spans="1:7">
      <c r="A30" s="13" t="s">
        <v>118</v>
      </c>
      <c r="B30" s="13" t="s">
        <v>119</v>
      </c>
      <c r="C30" s="13" t="s">
        <v>120</v>
      </c>
      <c r="D30" s="13" t="s">
        <v>121</v>
      </c>
      <c r="E30" s="14" t="s">
        <v>25</v>
      </c>
      <c r="F30" s="15"/>
      <c r="G30" s="15"/>
    </row>
    <row r="31" ht="25.5" spans="1:7">
      <c r="A31" s="13" t="s">
        <v>122</v>
      </c>
      <c r="B31" s="13" t="s">
        <v>123</v>
      </c>
      <c r="C31" s="13" t="s">
        <v>124</v>
      </c>
      <c r="D31" s="13" t="s">
        <v>125</v>
      </c>
      <c r="E31" s="14" t="s">
        <v>126</v>
      </c>
      <c r="F31" s="15"/>
      <c r="G31" s="15"/>
    </row>
    <row r="32" ht="25.5" spans="1:7">
      <c r="A32" s="13" t="s">
        <v>127</v>
      </c>
      <c r="B32" s="13" t="s">
        <v>128</v>
      </c>
      <c r="C32" s="13" t="s">
        <v>129</v>
      </c>
      <c r="D32" s="13" t="s">
        <v>130</v>
      </c>
      <c r="E32" s="14" t="s">
        <v>126</v>
      </c>
      <c r="F32" s="15"/>
      <c r="G32" s="15"/>
    </row>
    <row r="33" ht="25.5" spans="1:7">
      <c r="A33" s="13" t="s">
        <v>131</v>
      </c>
      <c r="B33" s="13" t="s">
        <v>132</v>
      </c>
      <c r="C33" s="13" t="s">
        <v>133</v>
      </c>
      <c r="D33" s="13" t="s">
        <v>134</v>
      </c>
      <c r="E33" s="14" t="s">
        <v>135</v>
      </c>
      <c r="F33" s="15"/>
      <c r="G33" s="15"/>
    </row>
    <row r="34" ht="38.25" spans="1:7">
      <c r="A34" s="13" t="s">
        <v>136</v>
      </c>
      <c r="B34" s="13" t="s">
        <v>137</v>
      </c>
      <c r="C34" s="13" t="s">
        <v>138</v>
      </c>
      <c r="D34" s="13" t="s">
        <v>139</v>
      </c>
      <c r="E34" s="14" t="s">
        <v>126</v>
      </c>
      <c r="F34" s="15"/>
      <c r="G34" s="15"/>
    </row>
    <row r="35" ht="89.25" spans="1:7">
      <c r="A35" s="16" t="s">
        <v>140</v>
      </c>
      <c r="B35" s="13" t="s">
        <v>141</v>
      </c>
      <c r="C35" s="13" t="s">
        <v>142</v>
      </c>
      <c r="D35" s="16" t="s">
        <v>143</v>
      </c>
      <c r="E35" s="17" t="s">
        <v>126</v>
      </c>
      <c r="F35" s="15"/>
      <c r="G35" s="15"/>
    </row>
    <row r="36" ht="127.5" spans="1:7">
      <c r="A36" s="13" t="s">
        <v>144</v>
      </c>
      <c r="B36" s="13"/>
      <c r="C36" s="13" t="s">
        <v>145</v>
      </c>
      <c r="D36" s="13" t="s">
        <v>146</v>
      </c>
      <c r="E36" s="14" t="s">
        <v>25</v>
      </c>
      <c r="F36" s="15"/>
      <c r="G36" s="15"/>
    </row>
    <row r="37" ht="114.75" spans="1:7">
      <c r="A37" s="13" t="s">
        <v>147</v>
      </c>
      <c r="B37" s="13" t="s">
        <v>148</v>
      </c>
      <c r="C37" s="13" t="s">
        <v>149</v>
      </c>
      <c r="D37" s="13" t="s">
        <v>150</v>
      </c>
      <c r="E37" s="14" t="s">
        <v>151</v>
      </c>
      <c r="F37" s="15"/>
      <c r="G37" s="15"/>
    </row>
    <row r="38" ht="76.5" spans="1:7">
      <c r="A38" s="13" t="s">
        <v>152</v>
      </c>
      <c r="B38" s="13"/>
      <c r="C38" s="13" t="s">
        <v>153</v>
      </c>
      <c r="D38" s="13" t="s">
        <v>154</v>
      </c>
      <c r="E38" s="14" t="s">
        <v>25</v>
      </c>
      <c r="F38" s="15"/>
      <c r="G38" s="15"/>
    </row>
    <row r="39" ht="76.5" spans="1:7">
      <c r="A39" s="16" t="s">
        <v>155</v>
      </c>
      <c r="B39" s="13"/>
      <c r="C39" s="13" t="s">
        <v>156</v>
      </c>
      <c r="D39" s="16" t="s">
        <v>157</v>
      </c>
      <c r="E39" s="17" t="s">
        <v>25</v>
      </c>
      <c r="F39" s="15"/>
      <c r="G39" s="15"/>
    </row>
    <row r="40" ht="76.5" spans="1:7">
      <c r="A40" s="13" t="s">
        <v>158</v>
      </c>
      <c r="B40" s="13"/>
      <c r="C40" s="13" t="s">
        <v>159</v>
      </c>
      <c r="D40" s="13" t="s">
        <v>160</v>
      </c>
      <c r="E40" s="14" t="s">
        <v>25</v>
      </c>
      <c r="F40" s="15"/>
      <c r="G40" s="15"/>
    </row>
    <row r="41" ht="76.5" spans="1:7">
      <c r="A41" s="13" t="s">
        <v>161</v>
      </c>
      <c r="B41" s="13"/>
      <c r="C41" s="13" t="s">
        <v>162</v>
      </c>
      <c r="D41" s="13" t="s">
        <v>163</v>
      </c>
      <c r="E41" s="14" t="s">
        <v>25</v>
      </c>
      <c r="F41" s="15"/>
      <c r="G41" s="15"/>
    </row>
    <row r="42" ht="76.5" spans="1:7">
      <c r="A42" s="13" t="s">
        <v>164</v>
      </c>
      <c r="B42" s="13"/>
      <c r="C42" s="13" t="s">
        <v>165</v>
      </c>
      <c r="D42" s="13" t="s">
        <v>166</v>
      </c>
      <c r="E42" s="14" t="s">
        <v>25</v>
      </c>
      <c r="F42" s="15"/>
      <c r="G42" s="15"/>
    </row>
    <row r="43" ht="76.5" spans="1:7">
      <c r="A43" s="13" t="s">
        <v>167</v>
      </c>
      <c r="B43" s="13"/>
      <c r="C43" s="13" t="s">
        <v>168</v>
      </c>
      <c r="D43" s="13" t="s">
        <v>169</v>
      </c>
      <c r="E43" s="14" t="s">
        <v>25</v>
      </c>
      <c r="F43" s="15"/>
      <c r="G43" s="15"/>
    </row>
    <row r="44" ht="76.5" spans="1:7">
      <c r="A44" s="13" t="s">
        <v>170</v>
      </c>
      <c r="B44" s="13"/>
      <c r="C44" s="13" t="s">
        <v>171</v>
      </c>
      <c r="D44" s="13" t="s">
        <v>172</v>
      </c>
      <c r="E44" s="14" t="s">
        <v>25</v>
      </c>
      <c r="F44" s="15"/>
      <c r="G44" s="15"/>
    </row>
    <row r="45" ht="114.75" spans="1:7">
      <c r="A45" s="13" t="s">
        <v>173</v>
      </c>
      <c r="B45" s="13"/>
      <c r="C45" s="13" t="s">
        <v>174</v>
      </c>
      <c r="D45" s="13" t="s">
        <v>175</v>
      </c>
      <c r="E45" s="14" t="s">
        <v>25</v>
      </c>
      <c r="F45" s="15"/>
      <c r="G45" s="15"/>
    </row>
    <row r="46" ht="102" spans="1:7">
      <c r="A46" s="13" t="s">
        <v>176</v>
      </c>
      <c r="B46" s="13" t="s">
        <v>177</v>
      </c>
      <c r="C46" s="13" t="s">
        <v>178</v>
      </c>
      <c r="D46" s="13" t="s">
        <v>179</v>
      </c>
      <c r="E46" s="14" t="s">
        <v>25</v>
      </c>
      <c r="F46" s="15"/>
      <c r="G46" s="15"/>
    </row>
    <row r="47" ht="63.75" spans="1:7">
      <c r="A47" s="13" t="s">
        <v>180</v>
      </c>
      <c r="B47" s="13"/>
      <c r="C47" s="13" t="s">
        <v>181</v>
      </c>
      <c r="D47" s="13" t="s">
        <v>182</v>
      </c>
      <c r="E47" s="14" t="s">
        <v>25</v>
      </c>
      <c r="F47" s="15"/>
      <c r="G47" s="15"/>
    </row>
    <row r="48" ht="63.75" spans="1:7">
      <c r="A48" s="13" t="s">
        <v>183</v>
      </c>
      <c r="B48" s="13"/>
      <c r="C48" s="13" t="s">
        <v>184</v>
      </c>
      <c r="D48" s="13" t="s">
        <v>185</v>
      </c>
      <c r="E48" s="14" t="s">
        <v>25</v>
      </c>
      <c r="F48" s="15"/>
      <c r="G48" s="15"/>
    </row>
    <row r="49" ht="63.75" spans="1:7">
      <c r="A49" s="13" t="s">
        <v>186</v>
      </c>
      <c r="B49" s="13"/>
      <c r="C49" s="13" t="s">
        <v>187</v>
      </c>
      <c r="D49" s="13" t="s">
        <v>188</v>
      </c>
      <c r="E49" s="14" t="s">
        <v>25</v>
      </c>
      <c r="F49" s="15"/>
      <c r="G49" s="15"/>
    </row>
    <row r="50" ht="63.75" spans="1:7">
      <c r="A50" s="13" t="s">
        <v>189</v>
      </c>
      <c r="B50" s="13"/>
      <c r="C50" s="13" t="s">
        <v>190</v>
      </c>
      <c r="D50" s="13" t="s">
        <v>191</v>
      </c>
      <c r="E50" s="14" t="s">
        <v>25</v>
      </c>
      <c r="F50" s="15"/>
      <c r="G50" s="15"/>
    </row>
    <row r="51" ht="63.75" spans="1:7">
      <c r="A51" s="13" t="s">
        <v>192</v>
      </c>
      <c r="B51" s="13"/>
      <c r="C51" s="13" t="s">
        <v>193</v>
      </c>
      <c r="D51" s="13" t="s">
        <v>194</v>
      </c>
      <c r="E51" s="14" t="s">
        <v>25</v>
      </c>
      <c r="F51" s="15"/>
      <c r="G51" s="15"/>
    </row>
    <row r="52" ht="51" spans="1:7">
      <c r="A52" s="13" t="s">
        <v>195</v>
      </c>
      <c r="B52" s="13"/>
      <c r="C52" s="13" t="s">
        <v>196</v>
      </c>
      <c r="D52" s="13" t="s">
        <v>197</v>
      </c>
      <c r="E52" s="14" t="s">
        <v>25</v>
      </c>
      <c r="F52" s="15"/>
      <c r="G52" s="15"/>
    </row>
    <row r="53" ht="51" spans="1:7">
      <c r="A53" s="13" t="s">
        <v>198</v>
      </c>
      <c r="B53" s="13" t="s">
        <v>199</v>
      </c>
      <c r="C53" s="13" t="s">
        <v>200</v>
      </c>
      <c r="D53" s="13" t="s">
        <v>201</v>
      </c>
      <c r="E53" s="14" t="s">
        <v>202</v>
      </c>
      <c r="F53" s="15"/>
      <c r="G53" s="15"/>
    </row>
    <row r="54" spans="1:7">
      <c r="A54" s="13" t="s">
        <v>203</v>
      </c>
      <c r="B54" s="13"/>
      <c r="C54" s="13" t="s">
        <v>204</v>
      </c>
      <c r="D54" s="13" t="s">
        <v>205</v>
      </c>
      <c r="E54" s="14" t="s">
        <v>151</v>
      </c>
      <c r="F54" s="15"/>
      <c r="G54" s="15"/>
    </row>
    <row r="55" ht="38.25" spans="1:7">
      <c r="A55" s="13" t="s">
        <v>206</v>
      </c>
      <c r="B55" s="13"/>
      <c r="C55" s="13" t="s">
        <v>207</v>
      </c>
      <c r="D55" s="13" t="s">
        <v>208</v>
      </c>
      <c r="E55" s="14" t="s">
        <v>25</v>
      </c>
      <c r="F55" s="15"/>
      <c r="G55" s="15"/>
    </row>
    <row r="56" ht="38.25" spans="1:7">
      <c r="A56" s="13" t="s">
        <v>209</v>
      </c>
      <c r="B56" s="13"/>
      <c r="C56" s="13" t="s">
        <v>210</v>
      </c>
      <c r="D56" s="13" t="s">
        <v>211</v>
      </c>
      <c r="E56" s="14" t="s">
        <v>25</v>
      </c>
      <c r="F56" s="15"/>
      <c r="G56" s="15"/>
    </row>
    <row r="57" ht="25.5" spans="1:7">
      <c r="A57" s="13" t="s">
        <v>212</v>
      </c>
      <c r="B57" s="13"/>
      <c r="C57" s="13" t="s">
        <v>213</v>
      </c>
      <c r="D57" s="13" t="s">
        <v>214</v>
      </c>
      <c r="E57" s="14" t="s">
        <v>215</v>
      </c>
      <c r="F57" s="15"/>
      <c r="G57" s="15"/>
    </row>
    <row r="58" ht="102" spans="1:7">
      <c r="A58" s="13" t="s">
        <v>216</v>
      </c>
      <c r="B58" s="13" t="s">
        <v>217</v>
      </c>
      <c r="C58" s="13" t="s">
        <v>218</v>
      </c>
      <c r="D58" s="13" t="s">
        <v>219</v>
      </c>
      <c r="E58" s="14" t="s">
        <v>220</v>
      </c>
      <c r="F58" s="15"/>
      <c r="G58" s="15"/>
    </row>
    <row r="59" ht="38.25" spans="1:7">
      <c r="A59" s="13" t="s">
        <v>221</v>
      </c>
      <c r="B59" s="13" t="s">
        <v>222</v>
      </c>
      <c r="C59" s="13" t="s">
        <v>223</v>
      </c>
      <c r="D59" s="13" t="s">
        <v>224</v>
      </c>
      <c r="E59" s="14" t="s">
        <v>225</v>
      </c>
      <c r="F59" s="15"/>
      <c r="G59" s="15"/>
    </row>
    <row r="60" ht="25.5" spans="1:7">
      <c r="A60" s="13" t="s">
        <v>226</v>
      </c>
      <c r="B60" s="13" t="s">
        <v>227</v>
      </c>
      <c r="C60" s="13" t="s">
        <v>228</v>
      </c>
      <c r="D60" s="13" t="s">
        <v>229</v>
      </c>
      <c r="E60" s="14" t="s">
        <v>126</v>
      </c>
      <c r="F60" s="15"/>
      <c r="G60" s="15"/>
    </row>
    <row r="61" ht="63.75" spans="1:7">
      <c r="A61" s="13" t="s">
        <v>230</v>
      </c>
      <c r="B61" s="13" t="s">
        <v>231</v>
      </c>
      <c r="C61" s="13" t="s">
        <v>232</v>
      </c>
      <c r="D61" s="13" t="s">
        <v>233</v>
      </c>
      <c r="E61" s="14" t="s">
        <v>126</v>
      </c>
      <c r="F61" s="15"/>
      <c r="G61" s="15"/>
    </row>
    <row r="62" ht="63.75" spans="1:7">
      <c r="A62" s="13" t="s">
        <v>234</v>
      </c>
      <c r="B62" s="13" t="s">
        <v>235</v>
      </c>
      <c r="C62" s="13" t="s">
        <v>236</v>
      </c>
      <c r="D62" s="13" t="s">
        <v>237</v>
      </c>
      <c r="E62" s="14" t="s">
        <v>126</v>
      </c>
      <c r="F62" s="15"/>
      <c r="G62" s="15"/>
    </row>
    <row r="63" ht="25.5" spans="1:7">
      <c r="A63" s="13" t="s">
        <v>238</v>
      </c>
      <c r="B63" s="13" t="s">
        <v>239</v>
      </c>
      <c r="C63" s="13" t="s">
        <v>240</v>
      </c>
      <c r="D63" s="13" t="s">
        <v>241</v>
      </c>
      <c r="E63" s="14" t="s">
        <v>215</v>
      </c>
      <c r="F63" s="15"/>
      <c r="G63" s="15"/>
    </row>
    <row r="64" ht="25.5" spans="1:7">
      <c r="A64" s="13" t="s">
        <v>242</v>
      </c>
      <c r="B64" s="13"/>
      <c r="C64" s="13" t="s">
        <v>243</v>
      </c>
      <c r="D64" s="13" t="s">
        <v>244</v>
      </c>
      <c r="E64" s="14" t="s">
        <v>245</v>
      </c>
      <c r="F64" s="15"/>
      <c r="G64" s="15"/>
    </row>
    <row r="65" ht="38.25" spans="1:7">
      <c r="A65" s="13" t="s">
        <v>246</v>
      </c>
      <c r="B65" s="13"/>
      <c r="C65" s="13" t="s">
        <v>247</v>
      </c>
      <c r="D65" s="13" t="s">
        <v>248</v>
      </c>
      <c r="E65" s="14" t="s">
        <v>249</v>
      </c>
      <c r="F65" s="15"/>
      <c r="G65" s="15"/>
    </row>
    <row r="66" ht="38.25" spans="1:7">
      <c r="A66" s="13" t="s">
        <v>250</v>
      </c>
      <c r="B66" s="13" t="s">
        <v>251</v>
      </c>
      <c r="C66" s="13" t="s">
        <v>252</v>
      </c>
      <c r="D66" s="13" t="s">
        <v>253</v>
      </c>
      <c r="E66" s="14" t="s">
        <v>151</v>
      </c>
      <c r="F66" s="15"/>
      <c r="G66" s="15"/>
    </row>
    <row r="67" ht="51" spans="1:7">
      <c r="A67" s="13" t="s">
        <v>254</v>
      </c>
      <c r="B67" s="13" t="s">
        <v>255</v>
      </c>
      <c r="C67" s="13" t="s">
        <v>256</v>
      </c>
      <c r="D67" s="13" t="s">
        <v>257</v>
      </c>
      <c r="E67" s="14" t="s">
        <v>25</v>
      </c>
      <c r="F67" s="15"/>
      <c r="G67" s="15"/>
    </row>
    <row r="68" ht="38.25" spans="1:7">
      <c r="A68" s="13" t="s">
        <v>258</v>
      </c>
      <c r="B68" s="13" t="s">
        <v>259</v>
      </c>
      <c r="C68" s="13" t="s">
        <v>260</v>
      </c>
      <c r="D68" s="13" t="s">
        <v>261</v>
      </c>
      <c r="E68" s="14" t="s">
        <v>25</v>
      </c>
      <c r="F68" s="15"/>
      <c r="G68" s="15"/>
    </row>
    <row r="69" ht="38.25" spans="1:7">
      <c r="A69" s="13" t="s">
        <v>262</v>
      </c>
      <c r="B69" s="13" t="s">
        <v>263</v>
      </c>
      <c r="C69" s="13" t="s">
        <v>264</v>
      </c>
      <c r="D69" s="13" t="s">
        <v>265</v>
      </c>
      <c r="E69" s="14" t="s">
        <v>25</v>
      </c>
      <c r="F69" s="15"/>
      <c r="G69" s="15"/>
    </row>
    <row r="70" ht="38.25" spans="1:7">
      <c r="A70" s="13" t="s">
        <v>266</v>
      </c>
      <c r="B70" s="13" t="s">
        <v>267</v>
      </c>
      <c r="C70" s="13" t="s">
        <v>268</v>
      </c>
      <c r="D70" s="13" t="s">
        <v>269</v>
      </c>
      <c r="E70" s="14" t="s">
        <v>25</v>
      </c>
      <c r="F70" s="15"/>
      <c r="G70" s="15"/>
    </row>
    <row r="71" ht="51" spans="1:7">
      <c r="A71" s="13" t="s">
        <v>270</v>
      </c>
      <c r="B71" s="13" t="s">
        <v>271</v>
      </c>
      <c r="C71" s="13" t="s">
        <v>272</v>
      </c>
      <c r="D71" s="13" t="s">
        <v>273</v>
      </c>
      <c r="E71" s="14" t="s">
        <v>25</v>
      </c>
      <c r="F71" s="15"/>
      <c r="G71" s="15"/>
    </row>
    <row r="72" ht="38.25" spans="1:7">
      <c r="A72" s="13" t="s">
        <v>274</v>
      </c>
      <c r="B72" s="13" t="s">
        <v>275</v>
      </c>
      <c r="C72" s="13" t="s">
        <v>276</v>
      </c>
      <c r="D72" s="13" t="s">
        <v>277</v>
      </c>
      <c r="E72" s="14" t="s">
        <v>25</v>
      </c>
      <c r="F72" s="15"/>
      <c r="G72" s="15"/>
    </row>
    <row r="73" ht="38.25" spans="1:7">
      <c r="A73" s="13" t="s">
        <v>278</v>
      </c>
      <c r="B73" s="13" t="s">
        <v>279</v>
      </c>
      <c r="C73" s="13" t="s">
        <v>280</v>
      </c>
      <c r="D73" s="13" t="s">
        <v>281</v>
      </c>
      <c r="E73" s="14" t="s">
        <v>25</v>
      </c>
      <c r="F73" s="15"/>
      <c r="G73" s="15"/>
    </row>
    <row r="74" ht="38.25" spans="1:7">
      <c r="A74" s="13" t="s">
        <v>282</v>
      </c>
      <c r="B74" s="13" t="s">
        <v>283</v>
      </c>
      <c r="C74" s="13" t="s">
        <v>284</v>
      </c>
      <c r="D74" s="13" t="s">
        <v>285</v>
      </c>
      <c r="E74" s="14" t="s">
        <v>25</v>
      </c>
      <c r="F74" s="15"/>
      <c r="G74" s="15"/>
    </row>
    <row r="75" ht="51" spans="1:7">
      <c r="A75" s="13" t="s">
        <v>286</v>
      </c>
      <c r="B75" s="13" t="s">
        <v>287</v>
      </c>
      <c r="C75" s="13" t="s">
        <v>288</v>
      </c>
      <c r="D75" s="13" t="s">
        <v>289</v>
      </c>
      <c r="E75" s="14" t="s">
        <v>25</v>
      </c>
      <c r="F75" s="15"/>
      <c r="G75" s="15"/>
    </row>
    <row r="76" ht="38.25" spans="1:7">
      <c r="A76" s="13" t="s">
        <v>290</v>
      </c>
      <c r="B76" s="13" t="s">
        <v>291</v>
      </c>
      <c r="C76" s="13" t="s">
        <v>292</v>
      </c>
      <c r="D76" s="13" t="s">
        <v>293</v>
      </c>
      <c r="E76" s="14" t="s">
        <v>25</v>
      </c>
      <c r="F76" s="15"/>
      <c r="G76" s="15"/>
    </row>
    <row r="77" ht="38.25" spans="1:7">
      <c r="A77" s="13" t="s">
        <v>294</v>
      </c>
      <c r="B77" s="13" t="s">
        <v>295</v>
      </c>
      <c r="C77" s="13" t="s">
        <v>296</v>
      </c>
      <c r="D77" s="13" t="s">
        <v>297</v>
      </c>
      <c r="E77" s="14" t="s">
        <v>25</v>
      </c>
      <c r="F77" s="15"/>
      <c r="G77" s="15"/>
    </row>
    <row r="78" ht="38.25" spans="1:7">
      <c r="A78" s="13" t="s">
        <v>298</v>
      </c>
      <c r="B78" s="13" t="s">
        <v>299</v>
      </c>
      <c r="C78" s="13" t="s">
        <v>300</v>
      </c>
      <c r="D78" s="13" t="s">
        <v>301</v>
      </c>
      <c r="E78" s="14" t="s">
        <v>25</v>
      </c>
      <c r="F78" s="15"/>
      <c r="G78" s="15"/>
    </row>
    <row r="79" ht="38.25" spans="1:7">
      <c r="A79" s="13" t="s">
        <v>302</v>
      </c>
      <c r="B79" s="13" t="s">
        <v>303</v>
      </c>
      <c r="C79" s="13" t="s">
        <v>304</v>
      </c>
      <c r="D79" s="13" t="s">
        <v>305</v>
      </c>
      <c r="E79" s="14" t="s">
        <v>25</v>
      </c>
      <c r="F79" s="15"/>
      <c r="G79" s="15"/>
    </row>
    <row r="80" ht="25.5" spans="1:7">
      <c r="A80" s="13" t="s">
        <v>306</v>
      </c>
      <c r="B80" s="13" t="s">
        <v>307</v>
      </c>
      <c r="C80" s="13" t="s">
        <v>308</v>
      </c>
      <c r="D80" s="13" t="s">
        <v>309</v>
      </c>
      <c r="E80" s="14" t="s">
        <v>310</v>
      </c>
      <c r="F80" s="15"/>
      <c r="G80" s="15"/>
    </row>
    <row r="81" ht="51" spans="1:7">
      <c r="A81" s="13" t="s">
        <v>311</v>
      </c>
      <c r="B81" s="13"/>
      <c r="C81" s="13" t="s">
        <v>312</v>
      </c>
      <c r="D81" s="13" t="s">
        <v>313</v>
      </c>
      <c r="E81" s="14" t="s">
        <v>314</v>
      </c>
      <c r="F81" s="15"/>
      <c r="G81" s="15"/>
    </row>
    <row r="82" ht="38.25" spans="1:7">
      <c r="A82" s="13" t="s">
        <v>315</v>
      </c>
      <c r="B82" s="13" t="s">
        <v>316</v>
      </c>
      <c r="C82" s="13" t="s">
        <v>317</v>
      </c>
      <c r="D82" s="13" t="s">
        <v>318</v>
      </c>
      <c r="E82" s="14" t="s">
        <v>25</v>
      </c>
      <c r="F82" s="15"/>
      <c r="G82" s="15"/>
    </row>
    <row r="83" ht="38.25" spans="1:7">
      <c r="A83" s="13" t="s">
        <v>319</v>
      </c>
      <c r="B83" s="13" t="s">
        <v>320</v>
      </c>
      <c r="C83" s="13" t="s">
        <v>321</v>
      </c>
      <c r="D83" s="13" t="s">
        <v>322</v>
      </c>
      <c r="E83" s="14" t="s">
        <v>25</v>
      </c>
      <c r="F83" s="15"/>
      <c r="G83" s="15"/>
    </row>
    <row r="84" ht="38.25" spans="1:7">
      <c r="A84" s="13" t="s">
        <v>323</v>
      </c>
      <c r="B84" s="13" t="s">
        <v>324</v>
      </c>
      <c r="C84" s="13" t="s">
        <v>325</v>
      </c>
      <c r="D84" s="13" t="s">
        <v>326</v>
      </c>
      <c r="E84" s="14" t="s">
        <v>25</v>
      </c>
      <c r="F84" s="15"/>
      <c r="G84" s="15"/>
    </row>
    <row r="85" ht="38.25" spans="1:7">
      <c r="A85" s="13" t="s">
        <v>327</v>
      </c>
      <c r="B85" s="13" t="s">
        <v>328</v>
      </c>
      <c r="C85" s="13" t="s">
        <v>329</v>
      </c>
      <c r="D85" s="13" t="s">
        <v>330</v>
      </c>
      <c r="E85" s="14" t="s">
        <v>25</v>
      </c>
      <c r="F85" s="15"/>
      <c r="G85" s="15"/>
    </row>
    <row r="86" ht="38.25" spans="1:7">
      <c r="A86" s="13" t="s">
        <v>331</v>
      </c>
      <c r="B86" s="13" t="s">
        <v>332</v>
      </c>
      <c r="C86" s="13" t="s">
        <v>333</v>
      </c>
      <c r="D86" s="13" t="s">
        <v>334</v>
      </c>
      <c r="E86" s="14" t="s">
        <v>25</v>
      </c>
      <c r="F86" s="15"/>
      <c r="G86" s="15"/>
    </row>
    <row r="87" ht="38.25" spans="1:7">
      <c r="A87" s="13" t="s">
        <v>335</v>
      </c>
      <c r="B87" s="13" t="s">
        <v>336</v>
      </c>
      <c r="C87" s="13" t="s">
        <v>337</v>
      </c>
      <c r="D87" s="13" t="s">
        <v>338</v>
      </c>
      <c r="E87" s="14" t="s">
        <v>25</v>
      </c>
      <c r="F87" s="15"/>
      <c r="G87" s="15"/>
    </row>
    <row r="88" ht="38.25" spans="1:7">
      <c r="A88" s="13" t="s">
        <v>339</v>
      </c>
      <c r="B88" s="13" t="s">
        <v>340</v>
      </c>
      <c r="C88" s="13" t="s">
        <v>341</v>
      </c>
      <c r="D88" s="13" t="s">
        <v>342</v>
      </c>
      <c r="E88" s="14" t="s">
        <v>126</v>
      </c>
      <c r="F88" s="15"/>
      <c r="G88" s="15"/>
    </row>
    <row r="89" ht="51" spans="1:7">
      <c r="A89" s="13" t="s">
        <v>343</v>
      </c>
      <c r="B89" s="13" t="s">
        <v>344</v>
      </c>
      <c r="C89" s="13" t="s">
        <v>345</v>
      </c>
      <c r="D89" s="13" t="s">
        <v>346</v>
      </c>
      <c r="E89" s="14" t="s">
        <v>25</v>
      </c>
      <c r="F89" s="15"/>
      <c r="G89" s="15"/>
    </row>
    <row r="90" ht="76.5" spans="1:7">
      <c r="A90" s="13" t="s">
        <v>347</v>
      </c>
      <c r="B90" s="13" t="s">
        <v>348</v>
      </c>
      <c r="C90" s="13" t="s">
        <v>349</v>
      </c>
      <c r="D90" s="13" t="s">
        <v>350</v>
      </c>
      <c r="E90" s="14" t="s">
        <v>25</v>
      </c>
      <c r="F90" s="15"/>
      <c r="G90" s="15"/>
    </row>
    <row r="91" ht="89.25" spans="1:7">
      <c r="A91" s="13" t="s">
        <v>351</v>
      </c>
      <c r="B91" s="13" t="s">
        <v>352</v>
      </c>
      <c r="C91" s="13" t="s">
        <v>353</v>
      </c>
      <c r="D91" s="13" t="s">
        <v>354</v>
      </c>
      <c r="E91" s="14" t="s">
        <v>25</v>
      </c>
      <c r="F91" s="15"/>
      <c r="G91" s="15"/>
    </row>
    <row r="92" ht="76.5" spans="1:7">
      <c r="A92" s="13" t="s">
        <v>355</v>
      </c>
      <c r="B92" s="13" t="s">
        <v>356</v>
      </c>
      <c r="C92" s="13" t="s">
        <v>357</v>
      </c>
      <c r="D92" s="13" t="s">
        <v>358</v>
      </c>
      <c r="E92" s="14" t="s">
        <v>25</v>
      </c>
      <c r="F92" s="15"/>
      <c r="G92" s="15"/>
    </row>
    <row r="93" ht="76.5" spans="1:7">
      <c r="A93" s="13" t="s">
        <v>359</v>
      </c>
      <c r="B93" s="13" t="s">
        <v>360</v>
      </c>
      <c r="C93" s="13" t="s">
        <v>361</v>
      </c>
      <c r="D93" s="13" t="s">
        <v>362</v>
      </c>
      <c r="E93" s="14" t="s">
        <v>25</v>
      </c>
      <c r="F93" s="15"/>
      <c r="G93" s="15"/>
    </row>
    <row r="94" ht="38.25" spans="1:7">
      <c r="A94" s="13" t="s">
        <v>363</v>
      </c>
      <c r="B94" s="13"/>
      <c r="C94" s="13" t="s">
        <v>364</v>
      </c>
      <c r="D94" s="13" t="s">
        <v>365</v>
      </c>
      <c r="E94" s="14" t="s">
        <v>25</v>
      </c>
      <c r="F94" s="15"/>
      <c r="G94" s="15"/>
    </row>
    <row r="95" ht="38.25" spans="1:7">
      <c r="A95" s="13" t="s">
        <v>366</v>
      </c>
      <c r="B95" s="13"/>
      <c r="C95" s="13" t="s">
        <v>367</v>
      </c>
      <c r="D95" s="13" t="s">
        <v>368</v>
      </c>
      <c r="E95" s="14" t="s">
        <v>25</v>
      </c>
      <c r="F95" s="15"/>
      <c r="G95" s="15"/>
    </row>
    <row r="96" ht="51" spans="1:7">
      <c r="A96" s="13" t="s">
        <v>369</v>
      </c>
      <c r="B96" s="13" t="s">
        <v>370</v>
      </c>
      <c r="C96" s="13" t="s">
        <v>371</v>
      </c>
      <c r="D96" s="13" t="s">
        <v>372</v>
      </c>
      <c r="E96" s="14" t="s">
        <v>373</v>
      </c>
      <c r="F96" s="15"/>
      <c r="G96" s="15"/>
    </row>
    <row r="97" ht="51" spans="1:7">
      <c r="A97" s="13" t="s">
        <v>374</v>
      </c>
      <c r="B97" s="13" t="s">
        <v>375</v>
      </c>
      <c r="C97" s="13" t="s">
        <v>376</v>
      </c>
      <c r="D97" s="13" t="s">
        <v>377</v>
      </c>
      <c r="E97" s="14" t="s">
        <v>373</v>
      </c>
      <c r="F97" s="15"/>
      <c r="G97" s="15"/>
    </row>
    <row r="98" ht="51" spans="1:7">
      <c r="A98" s="13" t="s">
        <v>378</v>
      </c>
      <c r="B98" s="13" t="s">
        <v>379</v>
      </c>
      <c r="C98" s="13" t="s">
        <v>380</v>
      </c>
      <c r="D98" s="13" t="s">
        <v>381</v>
      </c>
      <c r="E98" s="14" t="s">
        <v>373</v>
      </c>
      <c r="F98" s="15"/>
      <c r="G98" s="15"/>
    </row>
    <row r="99" ht="76.5" spans="1:7">
      <c r="A99" s="13" t="s">
        <v>382</v>
      </c>
      <c r="B99" s="13" t="s">
        <v>383</v>
      </c>
      <c r="C99" s="13" t="s">
        <v>384</v>
      </c>
      <c r="D99" s="13" t="s">
        <v>385</v>
      </c>
      <c r="E99" s="14" t="s">
        <v>25</v>
      </c>
      <c r="F99" s="15"/>
      <c r="G99" s="15"/>
    </row>
    <row r="100" ht="76.5" spans="1:7">
      <c r="A100" s="13" t="s">
        <v>386</v>
      </c>
      <c r="B100" s="13" t="s">
        <v>387</v>
      </c>
      <c r="C100" s="13" t="s">
        <v>388</v>
      </c>
      <c r="D100" s="13" t="s">
        <v>389</v>
      </c>
      <c r="E100" s="14" t="s">
        <v>25</v>
      </c>
      <c r="F100" s="15"/>
      <c r="G100" s="15"/>
    </row>
    <row r="101" ht="51" spans="1:7">
      <c r="A101" s="13" t="s">
        <v>390</v>
      </c>
      <c r="B101" s="13" t="s">
        <v>391</v>
      </c>
      <c r="C101" s="13" t="s">
        <v>392</v>
      </c>
      <c r="D101" s="13" t="s">
        <v>393</v>
      </c>
      <c r="E101" s="14" t="s">
        <v>25</v>
      </c>
      <c r="F101" s="15"/>
      <c r="G101" s="15"/>
    </row>
    <row r="102" ht="51" spans="1:7">
      <c r="A102" s="13" t="s">
        <v>394</v>
      </c>
      <c r="B102" s="13" t="s">
        <v>395</v>
      </c>
      <c r="C102" s="13" t="s">
        <v>396</v>
      </c>
      <c r="D102" s="13" t="s">
        <v>397</v>
      </c>
      <c r="E102" s="14" t="s">
        <v>25</v>
      </c>
      <c r="F102" s="15"/>
      <c r="G102" s="15"/>
    </row>
    <row r="103" ht="51" spans="1:7">
      <c r="A103" s="13" t="s">
        <v>398</v>
      </c>
      <c r="B103" s="13" t="s">
        <v>399</v>
      </c>
      <c r="C103" s="13" t="s">
        <v>400</v>
      </c>
      <c r="D103" s="13" t="s">
        <v>401</v>
      </c>
      <c r="E103" s="14" t="s">
        <v>25</v>
      </c>
      <c r="F103" s="15"/>
      <c r="G103" s="15"/>
    </row>
    <row r="104" ht="63.75" spans="1:7">
      <c r="A104" s="13" t="s">
        <v>402</v>
      </c>
      <c r="B104" s="13" t="s">
        <v>403</v>
      </c>
      <c r="C104" s="13" t="s">
        <v>404</v>
      </c>
      <c r="D104" s="13" t="s">
        <v>405</v>
      </c>
      <c r="E104" s="14" t="s">
        <v>25</v>
      </c>
      <c r="F104" s="15"/>
      <c r="G104" s="15"/>
    </row>
    <row r="105" ht="63.75" spans="1:7">
      <c r="A105" s="13" t="s">
        <v>406</v>
      </c>
      <c r="B105" s="13" t="s">
        <v>407</v>
      </c>
      <c r="C105" s="13" t="s">
        <v>408</v>
      </c>
      <c r="D105" s="13" t="s">
        <v>409</v>
      </c>
      <c r="E105" s="14" t="s">
        <v>25</v>
      </c>
      <c r="F105" s="15"/>
      <c r="G105" s="15"/>
    </row>
    <row r="106" ht="63.75" spans="1:7">
      <c r="A106" s="13" t="s">
        <v>410</v>
      </c>
      <c r="B106" s="13" t="s">
        <v>411</v>
      </c>
      <c r="C106" s="13" t="s">
        <v>412</v>
      </c>
      <c r="D106" s="13" t="s">
        <v>413</v>
      </c>
      <c r="E106" s="14" t="s">
        <v>25</v>
      </c>
      <c r="F106" s="15"/>
      <c r="G106" s="15"/>
    </row>
    <row r="107" ht="76.5" spans="1:7">
      <c r="A107" s="13" t="s">
        <v>414</v>
      </c>
      <c r="B107" s="13" t="s">
        <v>415</v>
      </c>
      <c r="C107" s="13" t="s">
        <v>416</v>
      </c>
      <c r="D107" s="13" t="s">
        <v>417</v>
      </c>
      <c r="E107" s="14" t="s">
        <v>25</v>
      </c>
      <c r="F107" s="15"/>
      <c r="G107" s="15"/>
    </row>
    <row r="108" ht="102" spans="1:7">
      <c r="A108" s="13" t="s">
        <v>418</v>
      </c>
      <c r="B108" s="13" t="s">
        <v>419</v>
      </c>
      <c r="C108" s="13" t="s">
        <v>420</v>
      </c>
      <c r="D108" s="13" t="s">
        <v>421</v>
      </c>
      <c r="E108" s="14" t="s">
        <v>25</v>
      </c>
      <c r="F108" s="15"/>
      <c r="G108" s="15"/>
    </row>
    <row r="109" ht="38.25" spans="1:7">
      <c r="A109" s="16" t="s">
        <v>422</v>
      </c>
      <c r="B109" s="13" t="s">
        <v>423</v>
      </c>
      <c r="C109" s="13" t="s">
        <v>424</v>
      </c>
      <c r="D109" s="16" t="s">
        <v>425</v>
      </c>
      <c r="E109" s="17" t="s">
        <v>25</v>
      </c>
      <c r="F109" s="15"/>
      <c r="G109" s="15"/>
    </row>
    <row r="110" ht="63.75" spans="1:7">
      <c r="A110" s="13" t="s">
        <v>426</v>
      </c>
      <c r="B110" s="13" t="s">
        <v>427</v>
      </c>
      <c r="C110" s="13" t="s">
        <v>428</v>
      </c>
      <c r="D110" s="13" t="s">
        <v>429</v>
      </c>
      <c r="E110" s="14" t="s">
        <v>25</v>
      </c>
      <c r="F110" s="15"/>
      <c r="G110" s="15"/>
    </row>
    <row r="111" ht="38.25" spans="1:7">
      <c r="A111" s="13" t="s">
        <v>430</v>
      </c>
      <c r="B111" s="13" t="s">
        <v>431</v>
      </c>
      <c r="C111" s="13" t="s">
        <v>432</v>
      </c>
      <c r="D111" s="13" t="s">
        <v>433</v>
      </c>
      <c r="E111" s="14" t="s">
        <v>25</v>
      </c>
      <c r="F111" s="15"/>
      <c r="G111" s="15"/>
    </row>
    <row r="112" ht="63.75" spans="1:7">
      <c r="A112" s="13" t="s">
        <v>434</v>
      </c>
      <c r="B112" s="13" t="s">
        <v>435</v>
      </c>
      <c r="C112" s="13" t="s">
        <v>436</v>
      </c>
      <c r="D112" s="13" t="s">
        <v>437</v>
      </c>
      <c r="E112" s="14" t="s">
        <v>25</v>
      </c>
      <c r="F112" s="15"/>
      <c r="G112" s="15"/>
    </row>
    <row r="113" ht="38.25" spans="1:7">
      <c r="A113" s="13" t="s">
        <v>438</v>
      </c>
      <c r="B113" s="13" t="s">
        <v>439</v>
      </c>
      <c r="C113" s="13" t="s">
        <v>440</v>
      </c>
      <c r="D113" s="13" t="s">
        <v>441</v>
      </c>
      <c r="E113" s="14" t="s">
        <v>25</v>
      </c>
      <c r="F113" s="15"/>
      <c r="G113" s="15"/>
    </row>
    <row r="114" ht="38.25" spans="1:7">
      <c r="A114" s="13" t="s">
        <v>442</v>
      </c>
      <c r="B114" s="13" t="s">
        <v>443</v>
      </c>
      <c r="C114" s="13" t="s">
        <v>444</v>
      </c>
      <c r="D114" s="13" t="s">
        <v>445</v>
      </c>
      <c r="E114" s="14" t="s">
        <v>25</v>
      </c>
      <c r="F114" s="15"/>
      <c r="G114" s="15"/>
    </row>
    <row r="115" ht="63.75" spans="1:7">
      <c r="A115" s="13" t="s">
        <v>446</v>
      </c>
      <c r="B115" s="13" t="s">
        <v>447</v>
      </c>
      <c r="C115" s="13" t="s">
        <v>448</v>
      </c>
      <c r="D115" s="13" t="s">
        <v>449</v>
      </c>
      <c r="E115" s="14" t="s">
        <v>25</v>
      </c>
      <c r="F115" s="15"/>
      <c r="G115" s="15"/>
    </row>
    <row r="116" ht="63.75" spans="1:7">
      <c r="A116" s="13" t="s">
        <v>450</v>
      </c>
      <c r="B116" s="13" t="s">
        <v>451</v>
      </c>
      <c r="C116" s="13" t="s">
        <v>452</v>
      </c>
      <c r="D116" s="13" t="s">
        <v>453</v>
      </c>
      <c r="E116" s="14" t="s">
        <v>25</v>
      </c>
      <c r="F116" s="15"/>
      <c r="G116" s="15"/>
    </row>
    <row r="117" ht="63.75" spans="1:7">
      <c r="A117" s="13" t="s">
        <v>454</v>
      </c>
      <c r="B117" s="13" t="s">
        <v>455</v>
      </c>
      <c r="C117" s="13" t="s">
        <v>456</v>
      </c>
      <c r="D117" s="13" t="s">
        <v>457</v>
      </c>
      <c r="E117" s="14" t="s">
        <v>25</v>
      </c>
      <c r="F117" s="15"/>
      <c r="G117" s="15"/>
    </row>
    <row r="118" ht="63.75" spans="1:7">
      <c r="A118" s="13" t="s">
        <v>458</v>
      </c>
      <c r="B118" s="13" t="s">
        <v>459</v>
      </c>
      <c r="C118" s="13" t="s">
        <v>460</v>
      </c>
      <c r="D118" s="13" t="s">
        <v>461</v>
      </c>
      <c r="E118" s="14" t="s">
        <v>25</v>
      </c>
      <c r="F118" s="15"/>
      <c r="G118" s="15"/>
    </row>
    <row r="119" ht="63.75" spans="1:7">
      <c r="A119" s="13" t="s">
        <v>462</v>
      </c>
      <c r="B119" s="13" t="s">
        <v>463</v>
      </c>
      <c r="C119" s="13" t="s">
        <v>464</v>
      </c>
      <c r="D119" s="13" t="s">
        <v>465</v>
      </c>
      <c r="E119" s="14" t="s">
        <v>25</v>
      </c>
      <c r="F119" s="15"/>
      <c r="G119" s="15"/>
    </row>
    <row r="120" ht="63.75" spans="1:7">
      <c r="A120" s="13" t="s">
        <v>466</v>
      </c>
      <c r="B120" s="13" t="s">
        <v>467</v>
      </c>
      <c r="C120" s="13" t="s">
        <v>468</v>
      </c>
      <c r="D120" s="13" t="s">
        <v>469</v>
      </c>
      <c r="E120" s="14" t="s">
        <v>25</v>
      </c>
      <c r="F120" s="15"/>
      <c r="G120" s="15"/>
    </row>
    <row r="121" ht="63.75" spans="1:7">
      <c r="A121" s="13" t="s">
        <v>470</v>
      </c>
      <c r="B121" s="13" t="s">
        <v>471</v>
      </c>
      <c r="C121" s="13" t="s">
        <v>472</v>
      </c>
      <c r="D121" s="13" t="s">
        <v>473</v>
      </c>
      <c r="E121" s="14" t="s">
        <v>25</v>
      </c>
      <c r="F121" s="15"/>
      <c r="G121" s="15"/>
    </row>
    <row r="122" ht="63.75" spans="1:7">
      <c r="A122" s="13" t="s">
        <v>474</v>
      </c>
      <c r="B122" s="13" t="s">
        <v>475</v>
      </c>
      <c r="C122" s="13" t="s">
        <v>476</v>
      </c>
      <c r="D122" s="13" t="s">
        <v>477</v>
      </c>
      <c r="E122" s="14" t="s">
        <v>25</v>
      </c>
      <c r="F122" s="15"/>
      <c r="G122" s="15"/>
    </row>
    <row r="123" ht="63.75" spans="1:7">
      <c r="A123" s="13" t="s">
        <v>478</v>
      </c>
      <c r="B123" s="13" t="s">
        <v>479</v>
      </c>
      <c r="C123" s="13" t="s">
        <v>480</v>
      </c>
      <c r="D123" s="13" t="s">
        <v>481</v>
      </c>
      <c r="E123" s="14" t="s">
        <v>25</v>
      </c>
      <c r="F123" s="15"/>
      <c r="G123" s="15"/>
    </row>
    <row r="124" ht="63.75" spans="1:7">
      <c r="A124" s="13" t="s">
        <v>482</v>
      </c>
      <c r="B124" s="13" t="s">
        <v>483</v>
      </c>
      <c r="C124" s="13" t="s">
        <v>484</v>
      </c>
      <c r="D124" s="13" t="s">
        <v>485</v>
      </c>
      <c r="E124" s="14" t="s">
        <v>25</v>
      </c>
      <c r="F124" s="15"/>
      <c r="G124" s="15"/>
    </row>
    <row r="125" ht="63.75" spans="1:7">
      <c r="A125" s="13" t="s">
        <v>486</v>
      </c>
      <c r="B125" s="13" t="s">
        <v>487</v>
      </c>
      <c r="C125" s="13" t="s">
        <v>488</v>
      </c>
      <c r="D125" s="13" t="s">
        <v>489</v>
      </c>
      <c r="E125" s="14" t="s">
        <v>25</v>
      </c>
      <c r="F125" s="15"/>
      <c r="G125" s="15"/>
    </row>
    <row r="126" ht="63.75" spans="1:7">
      <c r="A126" s="13" t="s">
        <v>490</v>
      </c>
      <c r="B126" s="13" t="s">
        <v>491</v>
      </c>
      <c r="C126" s="13" t="s">
        <v>492</v>
      </c>
      <c r="D126" s="13" t="s">
        <v>493</v>
      </c>
      <c r="E126" s="14" t="s">
        <v>25</v>
      </c>
      <c r="F126" s="15"/>
      <c r="G126" s="15"/>
    </row>
    <row r="127" ht="63.75" spans="1:7">
      <c r="A127" s="13" t="s">
        <v>494</v>
      </c>
      <c r="B127" s="13" t="s">
        <v>495</v>
      </c>
      <c r="C127" s="13" t="s">
        <v>496</v>
      </c>
      <c r="D127" s="13" t="s">
        <v>497</v>
      </c>
      <c r="E127" s="14" t="s">
        <v>25</v>
      </c>
      <c r="F127" s="15"/>
      <c r="G127" s="15"/>
    </row>
    <row r="128" ht="63.75" spans="1:7">
      <c r="A128" s="13" t="s">
        <v>498</v>
      </c>
      <c r="B128" s="13" t="s">
        <v>499</v>
      </c>
      <c r="C128" s="13" t="s">
        <v>500</v>
      </c>
      <c r="D128" s="13" t="s">
        <v>501</v>
      </c>
      <c r="E128" s="14" t="s">
        <v>25</v>
      </c>
      <c r="F128" s="15"/>
      <c r="G128" s="15"/>
    </row>
    <row r="129" ht="63.75" spans="1:7">
      <c r="A129" s="13" t="s">
        <v>502</v>
      </c>
      <c r="B129" s="13" t="s">
        <v>503</v>
      </c>
      <c r="C129" s="13" t="s">
        <v>504</v>
      </c>
      <c r="D129" s="13" t="s">
        <v>505</v>
      </c>
      <c r="E129" s="14" t="s">
        <v>25</v>
      </c>
      <c r="F129" s="15"/>
      <c r="G129" s="15"/>
    </row>
    <row r="130" ht="63.75" spans="1:7">
      <c r="A130" s="13" t="s">
        <v>506</v>
      </c>
      <c r="B130" s="13" t="s">
        <v>507</v>
      </c>
      <c r="C130" s="13" t="s">
        <v>508</v>
      </c>
      <c r="D130" s="13" t="s">
        <v>509</v>
      </c>
      <c r="E130" s="14" t="s">
        <v>25</v>
      </c>
      <c r="F130" s="15"/>
      <c r="G130" s="15"/>
    </row>
    <row r="131" ht="63.75" spans="1:7">
      <c r="A131" s="13" t="s">
        <v>510</v>
      </c>
      <c r="B131" s="13" t="s">
        <v>511</v>
      </c>
      <c r="C131" s="13" t="s">
        <v>512</v>
      </c>
      <c r="D131" s="13" t="s">
        <v>513</v>
      </c>
      <c r="E131" s="14" t="s">
        <v>25</v>
      </c>
      <c r="F131" s="15"/>
      <c r="G131" s="15"/>
    </row>
    <row r="132" ht="63.75" spans="1:7">
      <c r="A132" s="13" t="s">
        <v>514</v>
      </c>
      <c r="B132" s="13" t="s">
        <v>515</v>
      </c>
      <c r="C132" s="13" t="s">
        <v>516</v>
      </c>
      <c r="D132" s="13" t="s">
        <v>517</v>
      </c>
      <c r="E132" s="14" t="s">
        <v>25</v>
      </c>
      <c r="F132" s="15"/>
      <c r="G132" s="15"/>
    </row>
    <row r="133" ht="63.75" spans="1:7">
      <c r="A133" s="13" t="s">
        <v>518</v>
      </c>
      <c r="B133" s="13" t="s">
        <v>519</v>
      </c>
      <c r="C133" s="13" t="s">
        <v>520</v>
      </c>
      <c r="D133" s="13" t="s">
        <v>521</v>
      </c>
      <c r="E133" s="14" t="s">
        <v>25</v>
      </c>
      <c r="F133" s="15"/>
      <c r="G133" s="15"/>
    </row>
    <row r="134" ht="63.75" spans="1:7">
      <c r="A134" s="13" t="s">
        <v>522</v>
      </c>
      <c r="B134" s="13" t="s">
        <v>523</v>
      </c>
      <c r="C134" s="13" t="s">
        <v>524</v>
      </c>
      <c r="D134" s="13" t="s">
        <v>525</v>
      </c>
      <c r="E134" s="14" t="s">
        <v>25</v>
      </c>
      <c r="F134" s="15"/>
      <c r="G134" s="15"/>
    </row>
    <row r="135" ht="63.75" spans="1:7">
      <c r="A135" s="13" t="s">
        <v>526</v>
      </c>
      <c r="B135" s="13" t="s">
        <v>527</v>
      </c>
      <c r="C135" s="13" t="s">
        <v>528</v>
      </c>
      <c r="D135" s="13" t="s">
        <v>529</v>
      </c>
      <c r="E135" s="14" t="s">
        <v>25</v>
      </c>
      <c r="F135" s="15"/>
      <c r="G135" s="15"/>
    </row>
    <row r="136" ht="63.75" spans="1:7">
      <c r="A136" s="13" t="s">
        <v>530</v>
      </c>
      <c r="B136" s="13" t="s">
        <v>531</v>
      </c>
      <c r="C136" s="13" t="s">
        <v>532</v>
      </c>
      <c r="D136" s="13" t="s">
        <v>533</v>
      </c>
      <c r="E136" s="14" t="s">
        <v>25</v>
      </c>
      <c r="F136" s="15"/>
      <c r="G136" s="15"/>
    </row>
    <row r="137" ht="63.75" spans="1:7">
      <c r="A137" s="13" t="s">
        <v>534</v>
      </c>
      <c r="B137" s="13" t="s">
        <v>535</v>
      </c>
      <c r="C137" s="13" t="s">
        <v>536</v>
      </c>
      <c r="D137" s="13" t="s">
        <v>537</v>
      </c>
      <c r="E137" s="14" t="s">
        <v>25</v>
      </c>
      <c r="F137" s="15"/>
      <c r="G137" s="15"/>
    </row>
    <row r="138" ht="63.75" spans="1:7">
      <c r="A138" s="13" t="s">
        <v>538</v>
      </c>
      <c r="B138" s="13" t="s">
        <v>539</v>
      </c>
      <c r="C138" s="13" t="s">
        <v>540</v>
      </c>
      <c r="D138" s="13" t="s">
        <v>541</v>
      </c>
      <c r="E138" s="14" t="s">
        <v>25</v>
      </c>
      <c r="F138" s="15"/>
      <c r="G138" s="15"/>
    </row>
    <row r="139" ht="63.75" spans="1:7">
      <c r="A139" s="13" t="s">
        <v>542</v>
      </c>
      <c r="B139" s="13" t="s">
        <v>543</v>
      </c>
      <c r="C139" s="13" t="s">
        <v>544</v>
      </c>
      <c r="D139" s="13" t="s">
        <v>545</v>
      </c>
      <c r="E139" s="14" t="s">
        <v>25</v>
      </c>
      <c r="F139" s="15"/>
      <c r="G139" s="15"/>
    </row>
    <row r="140" ht="63.75" spans="1:7">
      <c r="A140" s="13" t="s">
        <v>546</v>
      </c>
      <c r="B140" s="13" t="s">
        <v>547</v>
      </c>
      <c r="C140" s="13" t="s">
        <v>548</v>
      </c>
      <c r="D140" s="13" t="s">
        <v>549</v>
      </c>
      <c r="E140" s="14" t="s">
        <v>25</v>
      </c>
      <c r="F140" s="15"/>
      <c r="G140" s="15"/>
    </row>
    <row r="141" ht="63.75" spans="1:7">
      <c r="A141" s="13" t="s">
        <v>550</v>
      </c>
      <c r="B141" s="13" t="s">
        <v>551</v>
      </c>
      <c r="C141" s="13" t="s">
        <v>552</v>
      </c>
      <c r="D141" s="13" t="s">
        <v>553</v>
      </c>
      <c r="E141" s="14" t="s">
        <v>25</v>
      </c>
      <c r="F141" s="15"/>
      <c r="G141" s="15"/>
    </row>
    <row r="142" ht="63.75" spans="1:7">
      <c r="A142" s="13" t="s">
        <v>554</v>
      </c>
      <c r="B142" s="13" t="s">
        <v>555</v>
      </c>
      <c r="C142" s="13" t="s">
        <v>556</v>
      </c>
      <c r="D142" s="13" t="s">
        <v>557</v>
      </c>
      <c r="E142" s="14" t="s">
        <v>25</v>
      </c>
      <c r="F142" s="15"/>
      <c r="G142" s="15"/>
    </row>
    <row r="143" ht="63.75" spans="1:7">
      <c r="A143" s="13" t="s">
        <v>558</v>
      </c>
      <c r="B143" s="13" t="s">
        <v>559</v>
      </c>
      <c r="C143" s="13" t="s">
        <v>560</v>
      </c>
      <c r="D143" s="13" t="s">
        <v>561</v>
      </c>
      <c r="E143" s="14" t="s">
        <v>25</v>
      </c>
      <c r="F143" s="15"/>
      <c r="G143" s="15"/>
    </row>
    <row r="144" ht="63.75" spans="1:7">
      <c r="A144" s="13" t="s">
        <v>562</v>
      </c>
      <c r="B144" s="13" t="s">
        <v>563</v>
      </c>
      <c r="C144" s="13" t="s">
        <v>564</v>
      </c>
      <c r="D144" s="13" t="s">
        <v>565</v>
      </c>
      <c r="E144" s="14" t="s">
        <v>25</v>
      </c>
      <c r="F144" s="15"/>
      <c r="G144" s="15"/>
    </row>
    <row r="145" ht="63.75" spans="1:7">
      <c r="A145" s="13" t="s">
        <v>566</v>
      </c>
      <c r="B145" s="13" t="s">
        <v>567</v>
      </c>
      <c r="C145" s="13" t="s">
        <v>568</v>
      </c>
      <c r="D145" s="13" t="s">
        <v>569</v>
      </c>
      <c r="E145" s="14" t="s">
        <v>25</v>
      </c>
      <c r="F145" s="15"/>
      <c r="G145" s="15"/>
    </row>
    <row r="146" ht="63.75" spans="1:7">
      <c r="A146" s="13" t="s">
        <v>570</v>
      </c>
      <c r="B146" s="13" t="s">
        <v>571</v>
      </c>
      <c r="C146" s="13" t="s">
        <v>572</v>
      </c>
      <c r="D146" s="13" t="s">
        <v>573</v>
      </c>
      <c r="E146" s="14" t="s">
        <v>25</v>
      </c>
      <c r="F146" s="15"/>
      <c r="G146" s="15"/>
    </row>
    <row r="147" ht="25.5" spans="1:7">
      <c r="A147" s="13" t="s">
        <v>574</v>
      </c>
      <c r="B147" s="13" t="s">
        <v>575</v>
      </c>
      <c r="C147" s="13" t="s">
        <v>576</v>
      </c>
      <c r="D147" s="13" t="s">
        <v>577</v>
      </c>
      <c r="E147" s="14" t="s">
        <v>126</v>
      </c>
      <c r="F147" s="15"/>
      <c r="G147" s="15"/>
    </row>
    <row r="148" ht="25.5" spans="1:7">
      <c r="A148" s="13" t="s">
        <v>578</v>
      </c>
      <c r="B148" s="13" t="s">
        <v>579</v>
      </c>
      <c r="C148" s="13" t="s">
        <v>580</v>
      </c>
      <c r="D148" s="13" t="s">
        <v>581</v>
      </c>
      <c r="E148" s="14" t="s">
        <v>126</v>
      </c>
      <c r="F148" s="15"/>
      <c r="G148" s="15"/>
    </row>
    <row r="149" ht="25.5" spans="1:7">
      <c r="A149" s="13" t="s">
        <v>582</v>
      </c>
      <c r="B149" s="13" t="s">
        <v>583</v>
      </c>
      <c r="C149" s="13" t="s">
        <v>584</v>
      </c>
      <c r="D149" s="13" t="s">
        <v>585</v>
      </c>
      <c r="E149" s="14" t="s">
        <v>126</v>
      </c>
      <c r="F149" s="15"/>
      <c r="G149" s="15"/>
    </row>
    <row r="150" ht="25.5" spans="1:7">
      <c r="A150" s="13" t="s">
        <v>586</v>
      </c>
      <c r="B150" s="13" t="s">
        <v>587</v>
      </c>
      <c r="C150" s="13" t="s">
        <v>588</v>
      </c>
      <c r="D150" s="13" t="s">
        <v>589</v>
      </c>
      <c r="E150" s="14" t="s">
        <v>126</v>
      </c>
      <c r="F150" s="15"/>
      <c r="G150" s="15"/>
    </row>
    <row r="151" ht="25.5" spans="1:7">
      <c r="A151" s="13" t="s">
        <v>590</v>
      </c>
      <c r="B151" s="13" t="s">
        <v>591</v>
      </c>
      <c r="C151" s="13" t="s">
        <v>592</v>
      </c>
      <c r="D151" s="13" t="s">
        <v>593</v>
      </c>
      <c r="E151" s="14" t="s">
        <v>126</v>
      </c>
      <c r="F151" s="15"/>
      <c r="G151" s="15"/>
    </row>
    <row r="152" ht="25.5" spans="1:7">
      <c r="A152" s="13" t="s">
        <v>594</v>
      </c>
      <c r="B152" s="13" t="s">
        <v>595</v>
      </c>
      <c r="C152" s="13" t="s">
        <v>596</v>
      </c>
      <c r="D152" s="13" t="s">
        <v>597</v>
      </c>
      <c r="E152" s="14" t="s">
        <v>126</v>
      </c>
      <c r="F152" s="15"/>
      <c r="G152" s="15"/>
    </row>
    <row r="153" ht="38.25" spans="1:7">
      <c r="A153" s="13" t="s">
        <v>598</v>
      </c>
      <c r="B153" s="13"/>
      <c r="C153" s="13" t="s">
        <v>599</v>
      </c>
      <c r="D153" s="13" t="s">
        <v>600</v>
      </c>
      <c r="E153" s="14" t="s">
        <v>25</v>
      </c>
      <c r="F153" s="15"/>
      <c r="G153" s="15"/>
    </row>
    <row r="154" ht="25.5" spans="1:7">
      <c r="A154" s="13" t="s">
        <v>601</v>
      </c>
      <c r="B154" s="13" t="s">
        <v>602</v>
      </c>
      <c r="C154" s="13" t="s">
        <v>603</v>
      </c>
      <c r="D154" s="13" t="s">
        <v>604</v>
      </c>
      <c r="E154" s="14" t="s">
        <v>25</v>
      </c>
      <c r="F154" s="15"/>
      <c r="G154" s="15"/>
    </row>
    <row r="155" ht="25.5" spans="1:7">
      <c r="A155" s="13" t="s">
        <v>605</v>
      </c>
      <c r="B155" s="13" t="s">
        <v>606</v>
      </c>
      <c r="C155" s="13" t="s">
        <v>607</v>
      </c>
      <c r="D155" s="13" t="s">
        <v>608</v>
      </c>
      <c r="E155" s="14" t="s">
        <v>609</v>
      </c>
      <c r="F155" s="15"/>
      <c r="G155" s="15"/>
    </row>
    <row r="156" ht="63.75" spans="1:7">
      <c r="A156" s="13" t="s">
        <v>610</v>
      </c>
      <c r="B156" s="13" t="s">
        <v>611</v>
      </c>
      <c r="C156" s="13" t="s">
        <v>612</v>
      </c>
      <c r="D156" s="13" t="s">
        <v>613</v>
      </c>
      <c r="E156" s="14" t="s">
        <v>25</v>
      </c>
      <c r="F156" s="15"/>
      <c r="G156" s="15"/>
    </row>
    <row r="157" ht="63.75" spans="1:7">
      <c r="A157" s="13" t="s">
        <v>614</v>
      </c>
      <c r="B157" s="13" t="s">
        <v>615</v>
      </c>
      <c r="C157" s="13" t="s">
        <v>616</v>
      </c>
      <c r="D157" s="13" t="s">
        <v>617</v>
      </c>
      <c r="E157" s="14" t="s">
        <v>25</v>
      </c>
      <c r="F157" s="15"/>
      <c r="G157" s="15"/>
    </row>
    <row r="158" ht="63.75" spans="1:7">
      <c r="A158" s="13" t="s">
        <v>618</v>
      </c>
      <c r="B158" s="13" t="s">
        <v>619</v>
      </c>
      <c r="C158" s="13" t="s">
        <v>620</v>
      </c>
      <c r="D158" s="13" t="s">
        <v>621</v>
      </c>
      <c r="E158" s="14" t="s">
        <v>25</v>
      </c>
      <c r="F158" s="15"/>
      <c r="G158" s="15"/>
    </row>
    <row r="159" ht="51" spans="1:7">
      <c r="A159" s="13" t="s">
        <v>622</v>
      </c>
      <c r="B159" s="13" t="s">
        <v>623</v>
      </c>
      <c r="C159" s="13" t="s">
        <v>624</v>
      </c>
      <c r="D159" s="13" t="s">
        <v>625</v>
      </c>
      <c r="E159" s="14" t="s">
        <v>25</v>
      </c>
      <c r="F159" s="15"/>
      <c r="G159" s="15"/>
    </row>
    <row r="160" ht="51" spans="1:7">
      <c r="A160" s="13" t="s">
        <v>626</v>
      </c>
      <c r="B160" s="13" t="s">
        <v>627</v>
      </c>
      <c r="C160" s="13" t="s">
        <v>628</v>
      </c>
      <c r="D160" s="13" t="s">
        <v>629</v>
      </c>
      <c r="E160" s="14" t="s">
        <v>25</v>
      </c>
      <c r="F160" s="15"/>
      <c r="G160" s="15"/>
    </row>
    <row r="161" ht="51" spans="1:7">
      <c r="A161" s="13" t="s">
        <v>630</v>
      </c>
      <c r="B161" s="13" t="s">
        <v>631</v>
      </c>
      <c r="C161" s="13" t="s">
        <v>632</v>
      </c>
      <c r="D161" s="13" t="s">
        <v>633</v>
      </c>
      <c r="E161" s="14" t="s">
        <v>25</v>
      </c>
      <c r="F161" s="15"/>
      <c r="G161" s="15"/>
    </row>
    <row r="162" ht="51" spans="1:7">
      <c r="A162" s="13" t="s">
        <v>634</v>
      </c>
      <c r="B162" s="13" t="s">
        <v>635</v>
      </c>
      <c r="C162" s="13" t="s">
        <v>636</v>
      </c>
      <c r="D162" s="13" t="s">
        <v>637</v>
      </c>
      <c r="E162" s="14" t="s">
        <v>25</v>
      </c>
      <c r="F162" s="15"/>
      <c r="G162" s="15"/>
    </row>
    <row r="163" ht="51" spans="1:7">
      <c r="A163" s="13" t="s">
        <v>638</v>
      </c>
      <c r="B163" s="13"/>
      <c r="C163" s="13" t="s">
        <v>639</v>
      </c>
      <c r="D163" s="13" t="s">
        <v>640</v>
      </c>
      <c r="E163" s="14" t="s">
        <v>225</v>
      </c>
      <c r="F163" s="15"/>
      <c r="G163" s="15"/>
    </row>
    <row r="164" ht="51" spans="1:7">
      <c r="A164" s="13" t="s">
        <v>641</v>
      </c>
      <c r="B164" s="13"/>
      <c r="C164" s="13" t="s">
        <v>642</v>
      </c>
      <c r="D164" s="13" t="s">
        <v>643</v>
      </c>
      <c r="E164" s="14" t="s">
        <v>644</v>
      </c>
      <c r="F164" s="15"/>
      <c r="G164" s="15"/>
    </row>
    <row r="165" ht="25.5" spans="1:7">
      <c r="A165" s="13" t="s">
        <v>645</v>
      </c>
      <c r="B165" s="13"/>
      <c r="C165" s="13" t="s">
        <v>646</v>
      </c>
      <c r="D165" s="13" t="s">
        <v>647</v>
      </c>
      <c r="E165" s="14" t="s">
        <v>648</v>
      </c>
      <c r="F165" s="15"/>
      <c r="G165" s="15"/>
    </row>
    <row r="166" ht="25.5" spans="1:7">
      <c r="A166" s="13" t="s">
        <v>649</v>
      </c>
      <c r="B166" s="13"/>
      <c r="C166" s="13" t="s">
        <v>650</v>
      </c>
      <c r="D166" s="13" t="s">
        <v>651</v>
      </c>
      <c r="E166" s="14" t="s">
        <v>135</v>
      </c>
      <c r="F166" s="15"/>
      <c r="G166" s="15"/>
    </row>
    <row r="167" spans="1:7">
      <c r="A167" s="13" t="s">
        <v>652</v>
      </c>
      <c r="B167" s="13"/>
      <c r="C167" s="13" t="s">
        <v>653</v>
      </c>
      <c r="D167" s="13" t="s">
        <v>654</v>
      </c>
      <c r="E167" s="14" t="s">
        <v>135</v>
      </c>
      <c r="F167" s="15"/>
      <c r="G167" s="15"/>
    </row>
    <row r="168" spans="1:7">
      <c r="A168" s="13" t="s">
        <v>655</v>
      </c>
      <c r="B168" s="13"/>
      <c r="C168" s="13" t="s">
        <v>656</v>
      </c>
      <c r="D168" s="13" t="s">
        <v>657</v>
      </c>
      <c r="E168" s="14" t="s">
        <v>648</v>
      </c>
      <c r="F168" s="15"/>
      <c r="G168" s="15"/>
    </row>
    <row r="169" ht="25.5" spans="1:7">
      <c r="A169" s="13" t="s">
        <v>658</v>
      </c>
      <c r="B169" s="13"/>
      <c r="C169" s="13" t="s">
        <v>659</v>
      </c>
      <c r="D169" s="13" t="s">
        <v>660</v>
      </c>
      <c r="E169" s="14" t="s">
        <v>135</v>
      </c>
      <c r="F169" s="15"/>
      <c r="G169" s="15"/>
    </row>
    <row r="170" ht="25.5" spans="1:7">
      <c r="A170" s="13" t="s">
        <v>661</v>
      </c>
      <c r="B170" s="13"/>
      <c r="C170" s="13" t="s">
        <v>662</v>
      </c>
      <c r="D170" s="13" t="s">
        <v>663</v>
      </c>
      <c r="E170" s="14" t="s">
        <v>664</v>
      </c>
      <c r="F170" s="15"/>
      <c r="G170" s="15"/>
    </row>
    <row r="171" spans="1:7">
      <c r="A171" s="13" t="s">
        <v>665</v>
      </c>
      <c r="B171" s="13"/>
      <c r="C171" s="13" t="s">
        <v>666</v>
      </c>
      <c r="D171" s="13" t="s">
        <v>667</v>
      </c>
      <c r="E171" s="14" t="s">
        <v>135</v>
      </c>
      <c r="F171" s="15"/>
      <c r="G171" s="15"/>
    </row>
    <row r="172" spans="1:7">
      <c r="A172" s="13" t="s">
        <v>668</v>
      </c>
      <c r="B172" s="13" t="s">
        <v>669</v>
      </c>
      <c r="C172" s="13" t="s">
        <v>670</v>
      </c>
      <c r="D172" s="13" t="s">
        <v>671</v>
      </c>
      <c r="E172" s="14" t="s">
        <v>135</v>
      </c>
      <c r="F172" s="15"/>
      <c r="G172" s="15"/>
    </row>
    <row r="173" spans="1:7">
      <c r="A173" s="13" t="s">
        <v>672</v>
      </c>
      <c r="B173" s="13" t="s">
        <v>673</v>
      </c>
      <c r="C173" s="13" t="s">
        <v>674</v>
      </c>
      <c r="D173" s="13" t="s">
        <v>675</v>
      </c>
      <c r="E173" s="14" t="s">
        <v>135</v>
      </c>
      <c r="F173" s="15"/>
      <c r="G173" s="15"/>
    </row>
    <row r="174" ht="63.75" spans="1:7">
      <c r="A174" s="13" t="s">
        <v>676</v>
      </c>
      <c r="B174" s="13"/>
      <c r="C174" s="13" t="s">
        <v>677</v>
      </c>
      <c r="D174" s="13" t="s">
        <v>678</v>
      </c>
      <c r="E174" s="14" t="s">
        <v>249</v>
      </c>
      <c r="F174" s="15"/>
      <c r="G174" s="15"/>
    </row>
    <row r="175" ht="38.25" spans="1:7">
      <c r="A175" s="13" t="s">
        <v>679</v>
      </c>
      <c r="B175" s="13" t="s">
        <v>680</v>
      </c>
      <c r="C175" s="13" t="s">
        <v>681</v>
      </c>
      <c r="D175" s="13" t="s">
        <v>682</v>
      </c>
      <c r="E175" s="14" t="s">
        <v>126</v>
      </c>
      <c r="F175" s="15"/>
      <c r="G175" s="15"/>
    </row>
    <row r="176" ht="25.5" spans="1:7">
      <c r="A176" s="13" t="s">
        <v>683</v>
      </c>
      <c r="B176" s="13" t="s">
        <v>684</v>
      </c>
      <c r="C176" s="13" t="s">
        <v>685</v>
      </c>
      <c r="D176" s="13" t="s">
        <v>686</v>
      </c>
      <c r="E176" s="14" t="s">
        <v>25</v>
      </c>
      <c r="F176" s="15"/>
      <c r="G176" s="15"/>
    </row>
    <row r="177" ht="25.5" spans="1:7">
      <c r="A177" s="13" t="s">
        <v>687</v>
      </c>
      <c r="B177" s="13" t="s">
        <v>688</v>
      </c>
      <c r="C177" s="13" t="s">
        <v>689</v>
      </c>
      <c r="D177" s="13" t="s">
        <v>690</v>
      </c>
      <c r="E177" s="14" t="s">
        <v>25</v>
      </c>
      <c r="F177" s="15"/>
      <c r="G177" s="15"/>
    </row>
    <row r="178" ht="25.5" spans="1:7">
      <c r="A178" s="13" t="s">
        <v>691</v>
      </c>
      <c r="B178" s="13" t="s">
        <v>692</v>
      </c>
      <c r="C178" s="13" t="s">
        <v>693</v>
      </c>
      <c r="D178" s="13" t="s">
        <v>694</v>
      </c>
      <c r="E178" s="14" t="s">
        <v>25</v>
      </c>
      <c r="F178" s="15"/>
      <c r="G178" s="15"/>
    </row>
    <row r="179" ht="25.5" spans="1:7">
      <c r="A179" s="13" t="s">
        <v>695</v>
      </c>
      <c r="B179" s="13" t="s">
        <v>696</v>
      </c>
      <c r="C179" s="13" t="s">
        <v>697</v>
      </c>
      <c r="D179" s="13" t="s">
        <v>698</v>
      </c>
      <c r="E179" s="14" t="s">
        <v>25</v>
      </c>
      <c r="F179" s="15"/>
      <c r="G179" s="15"/>
    </row>
    <row r="180" ht="51" spans="1:7">
      <c r="A180" s="13" t="s">
        <v>699</v>
      </c>
      <c r="B180" s="13" t="s">
        <v>700</v>
      </c>
      <c r="C180" s="13" t="s">
        <v>701</v>
      </c>
      <c r="D180" s="13" t="s">
        <v>702</v>
      </c>
      <c r="E180" s="14" t="s">
        <v>126</v>
      </c>
      <c r="F180" s="15"/>
      <c r="G180" s="15"/>
    </row>
    <row r="181" ht="25.5" spans="1:7">
      <c r="A181" s="13" t="s">
        <v>703</v>
      </c>
      <c r="B181" s="13"/>
      <c r="C181" s="13" t="s">
        <v>704</v>
      </c>
      <c r="D181" s="13" t="s">
        <v>705</v>
      </c>
      <c r="E181" s="14" t="s">
        <v>706</v>
      </c>
      <c r="F181" s="15"/>
      <c r="G181" s="15"/>
    </row>
    <row r="182" ht="38.25" spans="1:7">
      <c r="A182" s="13" t="s">
        <v>707</v>
      </c>
      <c r="B182" s="13" t="s">
        <v>708</v>
      </c>
      <c r="C182" s="13" t="s">
        <v>709</v>
      </c>
      <c r="D182" s="13" t="s">
        <v>710</v>
      </c>
      <c r="E182" s="14" t="s">
        <v>711</v>
      </c>
      <c r="F182" s="15"/>
      <c r="G182" s="15"/>
    </row>
    <row r="183" ht="76.5" spans="1:7">
      <c r="A183" s="13" t="s">
        <v>712</v>
      </c>
      <c r="B183" s="13" t="s">
        <v>713</v>
      </c>
      <c r="C183" s="13" t="s">
        <v>714</v>
      </c>
      <c r="D183" s="13" t="s">
        <v>715</v>
      </c>
      <c r="E183" s="14" t="s">
        <v>215</v>
      </c>
      <c r="F183" s="15"/>
      <c r="G183" s="15"/>
    </row>
    <row r="184" ht="38.25" spans="1:7">
      <c r="A184" s="13" t="s">
        <v>716</v>
      </c>
      <c r="B184" s="13" t="s">
        <v>717</v>
      </c>
      <c r="C184" s="13" t="s">
        <v>718</v>
      </c>
      <c r="D184" s="13" t="s">
        <v>719</v>
      </c>
      <c r="E184" s="14" t="s">
        <v>720</v>
      </c>
      <c r="F184" s="15"/>
      <c r="G184" s="15"/>
    </row>
    <row r="185" spans="1:7">
      <c r="A185" s="13" t="s">
        <v>721</v>
      </c>
      <c r="B185" s="13" t="s">
        <v>722</v>
      </c>
      <c r="C185" s="13" t="s">
        <v>723</v>
      </c>
      <c r="D185" s="13" t="s">
        <v>724</v>
      </c>
      <c r="E185" s="14" t="s">
        <v>711</v>
      </c>
      <c r="F185" s="15"/>
      <c r="G185" s="15"/>
    </row>
    <row r="186" ht="25.5" spans="1:7">
      <c r="A186" s="13" t="s">
        <v>725</v>
      </c>
      <c r="B186" s="13"/>
      <c r="C186" s="13" t="s">
        <v>726</v>
      </c>
      <c r="D186" s="13" t="s">
        <v>727</v>
      </c>
      <c r="E186" s="14" t="s">
        <v>202</v>
      </c>
      <c r="F186" s="15"/>
      <c r="G186" s="15"/>
    </row>
    <row r="187" spans="1:7">
      <c r="A187" s="13" t="s">
        <v>728</v>
      </c>
      <c r="B187" s="13"/>
      <c r="C187" s="13" t="s">
        <v>729</v>
      </c>
      <c r="D187" s="13" t="s">
        <v>730</v>
      </c>
      <c r="E187" s="14" t="s">
        <v>314</v>
      </c>
      <c r="F187" s="15"/>
      <c r="G187" s="15"/>
    </row>
    <row r="188" ht="25.5" spans="1:7">
      <c r="A188" s="13" t="s">
        <v>731</v>
      </c>
      <c r="B188" s="13" t="s">
        <v>732</v>
      </c>
      <c r="C188" s="13" t="s">
        <v>733</v>
      </c>
      <c r="D188" s="13" t="s">
        <v>734</v>
      </c>
      <c r="E188" s="14" t="s">
        <v>126</v>
      </c>
      <c r="F188" s="15"/>
      <c r="G188" s="15"/>
    </row>
    <row r="189" ht="25.5" spans="1:7">
      <c r="A189" s="13" t="s">
        <v>735</v>
      </c>
      <c r="B189" s="13" t="s">
        <v>736</v>
      </c>
      <c r="C189" s="13" t="s">
        <v>737</v>
      </c>
      <c r="D189" s="13" t="s">
        <v>738</v>
      </c>
      <c r="E189" s="14" t="s">
        <v>720</v>
      </c>
      <c r="F189" s="15"/>
      <c r="G189" s="15"/>
    </row>
    <row r="190" ht="25.5" spans="1:7">
      <c r="A190" s="13" t="s">
        <v>739</v>
      </c>
      <c r="B190" s="13"/>
      <c r="C190" s="13" t="s">
        <v>740</v>
      </c>
      <c r="D190" s="13" t="s">
        <v>741</v>
      </c>
      <c r="E190" s="14" t="s">
        <v>706</v>
      </c>
      <c r="F190" s="15"/>
      <c r="G190" s="15"/>
    </row>
    <row r="191" ht="25.5" spans="1:7">
      <c r="A191" s="13" t="s">
        <v>742</v>
      </c>
      <c r="B191" s="13"/>
      <c r="C191" s="13" t="s">
        <v>743</v>
      </c>
      <c r="D191" s="13" t="s">
        <v>744</v>
      </c>
      <c r="E191" s="14" t="s">
        <v>314</v>
      </c>
      <c r="F191" s="15"/>
      <c r="G191" s="15"/>
    </row>
    <row r="192" spans="1:7">
      <c r="A192" s="13" t="s">
        <v>745</v>
      </c>
      <c r="B192" s="13"/>
      <c r="C192" s="13" t="s">
        <v>746</v>
      </c>
      <c r="D192" s="13" t="s">
        <v>747</v>
      </c>
      <c r="E192" s="14" t="s">
        <v>126</v>
      </c>
      <c r="F192" s="15"/>
      <c r="G192" s="15"/>
    </row>
    <row r="193" ht="25.5" spans="1:7">
      <c r="A193" s="13" t="s">
        <v>748</v>
      </c>
      <c r="B193" s="13" t="s">
        <v>749</v>
      </c>
      <c r="C193" s="13" t="s">
        <v>750</v>
      </c>
      <c r="D193" s="13" t="s">
        <v>751</v>
      </c>
      <c r="E193" s="14" t="s">
        <v>25</v>
      </c>
      <c r="F193" s="15"/>
      <c r="G193" s="15"/>
    </row>
    <row r="194" ht="25.5" spans="1:7">
      <c r="A194" s="13" t="s">
        <v>752</v>
      </c>
      <c r="B194" s="13" t="s">
        <v>753</v>
      </c>
      <c r="C194" s="13" t="s">
        <v>754</v>
      </c>
      <c r="D194" s="13" t="s">
        <v>755</v>
      </c>
      <c r="E194" s="14" t="s">
        <v>720</v>
      </c>
      <c r="F194" s="15"/>
      <c r="G194" s="15"/>
    </row>
    <row r="195" spans="1:7">
      <c r="A195" s="13" t="s">
        <v>756</v>
      </c>
      <c r="B195" s="13" t="s">
        <v>757</v>
      </c>
      <c r="C195" s="13" t="s">
        <v>758</v>
      </c>
      <c r="D195" s="13" t="s">
        <v>759</v>
      </c>
      <c r="E195" s="14" t="s">
        <v>711</v>
      </c>
      <c r="F195" s="15"/>
      <c r="G195" s="15"/>
    </row>
    <row r="196" ht="25.5" spans="1:7">
      <c r="A196" s="13" t="s">
        <v>760</v>
      </c>
      <c r="B196" s="13"/>
      <c r="C196" s="13" t="s">
        <v>761</v>
      </c>
      <c r="D196" s="13" t="s">
        <v>762</v>
      </c>
      <c r="E196" s="14" t="s">
        <v>763</v>
      </c>
      <c r="F196" s="15"/>
      <c r="G196" s="15"/>
    </row>
    <row r="197" ht="25.5" spans="1:7">
      <c r="A197" s="13" t="s">
        <v>764</v>
      </c>
      <c r="B197" s="13" t="s">
        <v>765</v>
      </c>
      <c r="C197" s="13" t="s">
        <v>766</v>
      </c>
      <c r="D197" s="13" t="s">
        <v>767</v>
      </c>
      <c r="E197" s="14" t="s">
        <v>711</v>
      </c>
      <c r="F197" s="15"/>
      <c r="G197" s="15"/>
    </row>
    <row r="198" ht="89.25" spans="1:7">
      <c r="A198" s="13" t="s">
        <v>768</v>
      </c>
      <c r="B198" s="13"/>
      <c r="C198" s="13" t="s">
        <v>769</v>
      </c>
      <c r="D198" s="13" t="s">
        <v>770</v>
      </c>
      <c r="E198" s="14" t="s">
        <v>225</v>
      </c>
      <c r="F198" s="15"/>
      <c r="G198" s="15"/>
    </row>
    <row r="199" ht="89.25" spans="1:7">
      <c r="A199" s="13" t="s">
        <v>771</v>
      </c>
      <c r="B199" s="13"/>
      <c r="C199" s="13" t="s">
        <v>772</v>
      </c>
      <c r="D199" s="13" t="s">
        <v>773</v>
      </c>
      <c r="E199" s="14" t="s">
        <v>225</v>
      </c>
      <c r="F199" s="15"/>
      <c r="G199" s="15"/>
    </row>
    <row r="200" ht="89.25" spans="1:7">
      <c r="A200" s="13" t="s">
        <v>774</v>
      </c>
      <c r="B200" s="13"/>
      <c r="C200" s="13" t="s">
        <v>775</v>
      </c>
      <c r="D200" s="13" t="s">
        <v>776</v>
      </c>
      <c r="E200" s="14" t="s">
        <v>225</v>
      </c>
      <c r="F200" s="15"/>
      <c r="G200" s="15"/>
    </row>
    <row r="201" ht="51" spans="1:7">
      <c r="A201" s="13" t="s">
        <v>777</v>
      </c>
      <c r="B201" s="13"/>
      <c r="C201" s="13" t="s">
        <v>778</v>
      </c>
      <c r="D201" s="13" t="s">
        <v>779</v>
      </c>
      <c r="E201" s="14" t="s">
        <v>225</v>
      </c>
      <c r="F201" s="15"/>
      <c r="G201" s="15"/>
    </row>
    <row r="202" ht="51" spans="1:7">
      <c r="A202" s="13" t="s">
        <v>780</v>
      </c>
      <c r="B202" s="13"/>
      <c r="C202" s="13" t="s">
        <v>781</v>
      </c>
      <c r="D202" s="13" t="s">
        <v>782</v>
      </c>
      <c r="E202" s="14" t="s">
        <v>225</v>
      </c>
      <c r="F202" s="15"/>
      <c r="G202" s="15"/>
    </row>
    <row r="203" ht="51" spans="1:7">
      <c r="A203" s="13" t="s">
        <v>783</v>
      </c>
      <c r="B203" s="13"/>
      <c r="C203" s="13" t="s">
        <v>784</v>
      </c>
      <c r="D203" s="13" t="s">
        <v>785</v>
      </c>
      <c r="E203" s="14" t="s">
        <v>225</v>
      </c>
      <c r="F203" s="15"/>
      <c r="G203" s="15"/>
    </row>
    <row r="204" ht="51" spans="1:7">
      <c r="A204" s="13" t="s">
        <v>786</v>
      </c>
      <c r="B204" s="13"/>
      <c r="C204" s="13" t="s">
        <v>787</v>
      </c>
      <c r="D204" s="13" t="s">
        <v>788</v>
      </c>
      <c r="E204" s="14" t="s">
        <v>225</v>
      </c>
      <c r="F204" s="15"/>
      <c r="G204" s="15"/>
    </row>
    <row r="205" ht="51" spans="1:7">
      <c r="A205" s="13" t="s">
        <v>789</v>
      </c>
      <c r="B205" s="13"/>
      <c r="C205" s="13" t="s">
        <v>790</v>
      </c>
      <c r="D205" s="13" t="s">
        <v>791</v>
      </c>
      <c r="E205" s="14" t="s">
        <v>225</v>
      </c>
      <c r="F205" s="15"/>
      <c r="G205" s="15"/>
    </row>
    <row r="206" ht="51" spans="1:7">
      <c r="A206" s="13" t="s">
        <v>792</v>
      </c>
      <c r="B206" s="13"/>
      <c r="C206" s="13" t="s">
        <v>793</v>
      </c>
      <c r="D206" s="13" t="s">
        <v>794</v>
      </c>
      <c r="E206" s="14" t="s">
        <v>225</v>
      </c>
      <c r="F206" s="15"/>
      <c r="G206" s="15"/>
    </row>
    <row r="207" ht="76.5" spans="1:7">
      <c r="A207" s="13" t="s">
        <v>795</v>
      </c>
      <c r="B207" s="13"/>
      <c r="C207" s="13" t="s">
        <v>796</v>
      </c>
      <c r="D207" s="13" t="s">
        <v>797</v>
      </c>
      <c r="E207" s="14" t="s">
        <v>225</v>
      </c>
      <c r="F207" s="15"/>
      <c r="G207" s="15"/>
    </row>
    <row r="208" ht="76.5" spans="1:7">
      <c r="A208" s="13" t="s">
        <v>798</v>
      </c>
      <c r="B208" s="13"/>
      <c r="C208" s="13" t="s">
        <v>799</v>
      </c>
      <c r="D208" s="13" t="s">
        <v>800</v>
      </c>
      <c r="E208" s="14" t="s">
        <v>225</v>
      </c>
      <c r="F208" s="15"/>
      <c r="G208" s="15"/>
    </row>
    <row r="209" ht="38.25" spans="1:7">
      <c r="A209" s="13" t="s">
        <v>801</v>
      </c>
      <c r="B209" s="13"/>
      <c r="C209" s="13" t="s">
        <v>802</v>
      </c>
      <c r="D209" s="13" t="s">
        <v>803</v>
      </c>
      <c r="E209" s="14" t="s">
        <v>225</v>
      </c>
      <c r="F209" s="15"/>
      <c r="G209" s="15"/>
    </row>
    <row r="210" ht="38.25" spans="1:7">
      <c r="A210" s="13" t="s">
        <v>804</v>
      </c>
      <c r="B210" s="13"/>
      <c r="C210" s="13" t="s">
        <v>805</v>
      </c>
      <c r="D210" s="13" t="s">
        <v>806</v>
      </c>
      <c r="E210" s="14" t="s">
        <v>225</v>
      </c>
      <c r="F210" s="15"/>
      <c r="G210" s="15"/>
    </row>
    <row r="211" ht="51" spans="1:7">
      <c r="A211" s="13" t="s">
        <v>807</v>
      </c>
      <c r="B211" s="13" t="s">
        <v>808</v>
      </c>
      <c r="C211" s="13" t="s">
        <v>809</v>
      </c>
      <c r="D211" s="13" t="s">
        <v>810</v>
      </c>
      <c r="E211" s="14" t="s">
        <v>126</v>
      </c>
      <c r="F211" s="15"/>
      <c r="G211" s="15"/>
    </row>
    <row r="212" ht="51" spans="1:7">
      <c r="A212" s="13" t="s">
        <v>811</v>
      </c>
      <c r="B212" s="13" t="s">
        <v>812</v>
      </c>
      <c r="C212" s="13" t="s">
        <v>813</v>
      </c>
      <c r="D212" s="13" t="s">
        <v>814</v>
      </c>
      <c r="E212" s="14" t="s">
        <v>126</v>
      </c>
      <c r="F212" s="15"/>
      <c r="G212" s="15"/>
    </row>
    <row r="213" ht="38.25" spans="1:7">
      <c r="A213" s="13" t="s">
        <v>815</v>
      </c>
      <c r="B213" s="13" t="s">
        <v>816</v>
      </c>
      <c r="C213" s="13" t="s">
        <v>817</v>
      </c>
      <c r="D213" s="13" t="s">
        <v>818</v>
      </c>
      <c r="E213" s="14" t="s">
        <v>126</v>
      </c>
      <c r="F213" s="15"/>
      <c r="G213" s="15"/>
    </row>
    <row r="214" ht="25.5" spans="1:7">
      <c r="A214" s="13" t="s">
        <v>819</v>
      </c>
      <c r="B214" s="13" t="s">
        <v>820</v>
      </c>
      <c r="C214" s="13" t="s">
        <v>821</v>
      </c>
      <c r="D214" s="13" t="s">
        <v>822</v>
      </c>
      <c r="E214" s="14" t="s">
        <v>25</v>
      </c>
      <c r="F214" s="15"/>
      <c r="G214" s="15"/>
    </row>
    <row r="215" ht="25.5" spans="1:7">
      <c r="A215" s="13" t="s">
        <v>823</v>
      </c>
      <c r="B215" s="13" t="s">
        <v>824</v>
      </c>
      <c r="C215" s="13" t="s">
        <v>825</v>
      </c>
      <c r="D215" s="13" t="s">
        <v>826</v>
      </c>
      <c r="E215" s="14" t="s">
        <v>215</v>
      </c>
      <c r="F215" s="15"/>
      <c r="G215" s="15"/>
    </row>
    <row r="216" ht="25.5" spans="1:7">
      <c r="A216" s="13" t="s">
        <v>827</v>
      </c>
      <c r="B216" s="13" t="s">
        <v>828</v>
      </c>
      <c r="C216" s="13" t="s">
        <v>829</v>
      </c>
      <c r="D216" s="13" t="s">
        <v>830</v>
      </c>
      <c r="E216" s="14" t="s">
        <v>215</v>
      </c>
      <c r="F216" s="15"/>
      <c r="G216" s="15"/>
    </row>
    <row r="217" ht="25.5" spans="1:7">
      <c r="A217" s="13" t="s">
        <v>831</v>
      </c>
      <c r="B217" s="13" t="s">
        <v>832</v>
      </c>
      <c r="C217" s="13" t="s">
        <v>833</v>
      </c>
      <c r="D217" s="13" t="s">
        <v>834</v>
      </c>
      <c r="E217" s="14" t="s">
        <v>126</v>
      </c>
      <c r="F217" s="15"/>
      <c r="G217" s="15"/>
    </row>
    <row r="218" ht="25.5" spans="1:7">
      <c r="A218" s="13" t="s">
        <v>835</v>
      </c>
      <c r="B218" s="13" t="s">
        <v>836</v>
      </c>
      <c r="C218" s="13" t="s">
        <v>837</v>
      </c>
      <c r="D218" s="13" t="s">
        <v>838</v>
      </c>
      <c r="E218" s="14" t="s">
        <v>225</v>
      </c>
      <c r="F218" s="15"/>
      <c r="G218" s="15"/>
    </row>
    <row r="219" ht="51" spans="1:7">
      <c r="A219" s="13" t="s">
        <v>839</v>
      </c>
      <c r="B219" s="13" t="s">
        <v>840</v>
      </c>
      <c r="C219" s="13" t="s">
        <v>841</v>
      </c>
      <c r="D219" s="13" t="s">
        <v>842</v>
      </c>
      <c r="E219" s="14" t="s">
        <v>151</v>
      </c>
      <c r="F219" s="15"/>
      <c r="G219" s="15"/>
    </row>
    <row r="220" ht="51" spans="1:7">
      <c r="A220" s="13" t="s">
        <v>843</v>
      </c>
      <c r="B220" s="13" t="s">
        <v>844</v>
      </c>
      <c r="C220" s="13" t="s">
        <v>845</v>
      </c>
      <c r="D220" s="13" t="s">
        <v>846</v>
      </c>
      <c r="E220" s="14" t="s">
        <v>25</v>
      </c>
      <c r="F220" s="15"/>
      <c r="G220" s="15"/>
    </row>
    <row r="221" ht="51" spans="1:7">
      <c r="A221" s="13" t="s">
        <v>847</v>
      </c>
      <c r="B221" s="13" t="s">
        <v>848</v>
      </c>
      <c r="C221" s="13" t="s">
        <v>849</v>
      </c>
      <c r="D221" s="13" t="s">
        <v>850</v>
      </c>
      <c r="E221" s="14" t="s">
        <v>25</v>
      </c>
      <c r="F221" s="15"/>
      <c r="G221" s="15"/>
    </row>
    <row r="222" ht="51" spans="1:7">
      <c r="A222" s="13" t="s">
        <v>851</v>
      </c>
      <c r="B222" s="13" t="s">
        <v>852</v>
      </c>
      <c r="C222" s="13" t="s">
        <v>853</v>
      </c>
      <c r="D222" s="13" t="s">
        <v>854</v>
      </c>
      <c r="E222" s="14" t="s">
        <v>25</v>
      </c>
      <c r="F222" s="15"/>
      <c r="G222" s="15"/>
    </row>
    <row r="223" ht="51" spans="1:7">
      <c r="A223" s="13" t="s">
        <v>855</v>
      </c>
      <c r="B223" s="13" t="s">
        <v>856</v>
      </c>
      <c r="C223" s="13" t="s">
        <v>857</v>
      </c>
      <c r="D223" s="13" t="s">
        <v>858</v>
      </c>
      <c r="E223" s="14" t="s">
        <v>126</v>
      </c>
      <c r="F223" s="15"/>
      <c r="G223" s="15"/>
    </row>
    <row r="224" ht="76.5" spans="1:7">
      <c r="A224" s="13" t="s">
        <v>859</v>
      </c>
      <c r="B224" s="13" t="s">
        <v>860</v>
      </c>
      <c r="C224" s="13" t="s">
        <v>861</v>
      </c>
      <c r="D224" s="13" t="s">
        <v>862</v>
      </c>
      <c r="E224" s="14" t="s">
        <v>215</v>
      </c>
      <c r="F224" s="15"/>
      <c r="G224" s="15"/>
    </row>
    <row r="225" ht="76.5" spans="1:7">
      <c r="A225" s="13" t="s">
        <v>863</v>
      </c>
      <c r="B225" s="13" t="s">
        <v>864</v>
      </c>
      <c r="C225" s="13" t="s">
        <v>865</v>
      </c>
      <c r="D225" s="13" t="s">
        <v>866</v>
      </c>
      <c r="E225" s="14" t="s">
        <v>215</v>
      </c>
      <c r="F225" s="15"/>
      <c r="G225" s="15"/>
    </row>
    <row r="226" ht="38.25" spans="1:7">
      <c r="A226" s="13" t="s">
        <v>867</v>
      </c>
      <c r="B226" s="13" t="s">
        <v>868</v>
      </c>
      <c r="C226" s="13" t="s">
        <v>869</v>
      </c>
      <c r="D226" s="13" t="s">
        <v>870</v>
      </c>
      <c r="E226" s="14" t="s">
        <v>126</v>
      </c>
      <c r="F226" s="15"/>
      <c r="G226" s="15"/>
    </row>
    <row r="227" ht="38.25" spans="1:7">
      <c r="A227" s="13" t="s">
        <v>871</v>
      </c>
      <c r="B227" s="13" t="s">
        <v>872</v>
      </c>
      <c r="C227" s="13" t="s">
        <v>873</v>
      </c>
      <c r="D227" s="13" t="s">
        <v>874</v>
      </c>
      <c r="E227" s="14" t="s">
        <v>126</v>
      </c>
      <c r="F227" s="15"/>
      <c r="G227" s="15"/>
    </row>
    <row r="228" ht="38.25" spans="1:7">
      <c r="A228" s="13" t="s">
        <v>875</v>
      </c>
      <c r="B228" s="13" t="s">
        <v>876</v>
      </c>
      <c r="C228" s="13" t="s">
        <v>877</v>
      </c>
      <c r="D228" s="13" t="s">
        <v>878</v>
      </c>
      <c r="E228" s="14" t="s">
        <v>126</v>
      </c>
      <c r="F228" s="15"/>
      <c r="G228" s="15"/>
    </row>
    <row r="229" ht="51" spans="1:7">
      <c r="A229" s="13" t="s">
        <v>879</v>
      </c>
      <c r="B229" s="13" t="s">
        <v>880</v>
      </c>
      <c r="C229" s="13" t="s">
        <v>881</v>
      </c>
      <c r="D229" s="13" t="s">
        <v>882</v>
      </c>
      <c r="E229" s="14" t="s">
        <v>25</v>
      </c>
      <c r="F229" s="15"/>
      <c r="G229" s="15"/>
    </row>
    <row r="230" ht="51" spans="1:7">
      <c r="A230" s="13" t="s">
        <v>883</v>
      </c>
      <c r="B230" s="13"/>
      <c r="C230" s="13" t="s">
        <v>883</v>
      </c>
      <c r="D230" s="13" t="s">
        <v>884</v>
      </c>
      <c r="E230" s="14" t="s">
        <v>885</v>
      </c>
      <c r="F230" s="15"/>
      <c r="G230" s="15"/>
    </row>
    <row r="231" ht="76.5" spans="1:7">
      <c r="A231" s="13" t="s">
        <v>886</v>
      </c>
      <c r="B231" s="13" t="s">
        <v>887</v>
      </c>
      <c r="C231" s="13" t="s">
        <v>888</v>
      </c>
      <c r="D231" s="13" t="s">
        <v>889</v>
      </c>
      <c r="E231" s="14" t="s">
        <v>126</v>
      </c>
      <c r="F231" s="15"/>
      <c r="G231" s="15"/>
    </row>
    <row r="232" ht="63.75" spans="1:7">
      <c r="A232" s="13" t="s">
        <v>890</v>
      </c>
      <c r="B232" s="13" t="s">
        <v>891</v>
      </c>
      <c r="C232" s="13" t="s">
        <v>892</v>
      </c>
      <c r="D232" s="13" t="s">
        <v>893</v>
      </c>
      <c r="E232" s="14" t="s">
        <v>126</v>
      </c>
      <c r="F232" s="15"/>
      <c r="G232" s="15"/>
    </row>
    <row r="233" spans="1:7">
      <c r="A233" s="13" t="s">
        <v>894</v>
      </c>
      <c r="B233" s="13" t="s">
        <v>895</v>
      </c>
      <c r="C233" s="13" t="s">
        <v>896</v>
      </c>
      <c r="D233" s="13" t="s">
        <v>897</v>
      </c>
      <c r="E233" s="14" t="s">
        <v>126</v>
      </c>
      <c r="F233" s="15"/>
      <c r="G233" s="15"/>
    </row>
    <row r="234" ht="51" spans="1:7">
      <c r="A234" s="13" t="s">
        <v>898</v>
      </c>
      <c r="B234" s="13" t="s">
        <v>899</v>
      </c>
      <c r="C234" s="13" t="s">
        <v>900</v>
      </c>
      <c r="D234" s="13" t="s">
        <v>901</v>
      </c>
      <c r="E234" s="14" t="s">
        <v>126</v>
      </c>
      <c r="F234" s="15"/>
      <c r="G234" s="15"/>
    </row>
    <row r="235" spans="1:7">
      <c r="A235" s="13" t="s">
        <v>902</v>
      </c>
      <c r="B235" s="13" t="s">
        <v>903</v>
      </c>
      <c r="C235" s="13" t="s">
        <v>904</v>
      </c>
      <c r="D235" s="13" t="s">
        <v>905</v>
      </c>
      <c r="E235" s="14" t="s">
        <v>215</v>
      </c>
      <c r="F235" s="15"/>
      <c r="G235" s="15"/>
    </row>
    <row r="236" ht="25.5" spans="1:7">
      <c r="A236" s="13" t="s">
        <v>906</v>
      </c>
      <c r="B236" s="13" t="s">
        <v>907</v>
      </c>
      <c r="C236" s="13" t="s">
        <v>908</v>
      </c>
      <c r="D236" s="13" t="s">
        <v>909</v>
      </c>
      <c r="E236" s="14" t="s">
        <v>126</v>
      </c>
      <c r="F236" s="15"/>
      <c r="G236" s="15"/>
    </row>
    <row r="237" ht="51" spans="1:7">
      <c r="A237" s="13" t="s">
        <v>910</v>
      </c>
      <c r="B237" s="13" t="s">
        <v>911</v>
      </c>
      <c r="C237" s="13" t="s">
        <v>912</v>
      </c>
      <c r="D237" s="13" t="s">
        <v>913</v>
      </c>
      <c r="E237" s="14" t="s">
        <v>126</v>
      </c>
      <c r="F237" s="15"/>
      <c r="G237" s="15"/>
    </row>
    <row r="238" ht="51" spans="1:7">
      <c r="A238" s="13" t="s">
        <v>914</v>
      </c>
      <c r="B238" s="13" t="s">
        <v>915</v>
      </c>
      <c r="C238" s="13" t="s">
        <v>916</v>
      </c>
      <c r="D238" s="13" t="s">
        <v>917</v>
      </c>
      <c r="E238" s="14" t="s">
        <v>126</v>
      </c>
      <c r="F238" s="15"/>
      <c r="G238" s="15"/>
    </row>
    <row r="239" ht="25.5" spans="1:7">
      <c r="A239" s="13" t="s">
        <v>918</v>
      </c>
      <c r="B239" s="13"/>
      <c r="C239" s="13" t="s">
        <v>919</v>
      </c>
      <c r="D239" s="13" t="s">
        <v>920</v>
      </c>
      <c r="E239" s="14" t="s">
        <v>664</v>
      </c>
      <c r="F239" s="15"/>
      <c r="G239" s="15"/>
    </row>
    <row r="240" ht="25.5" spans="1:7">
      <c r="A240" s="13" t="s">
        <v>921</v>
      </c>
      <c r="B240" s="13"/>
      <c r="C240" s="13" t="s">
        <v>922</v>
      </c>
      <c r="D240" s="13" t="s">
        <v>923</v>
      </c>
      <c r="E240" s="14" t="s">
        <v>664</v>
      </c>
      <c r="F240" s="15"/>
      <c r="G240" s="15"/>
    </row>
    <row r="241" ht="25.5" spans="1:7">
      <c r="A241" s="13" t="s">
        <v>924</v>
      </c>
      <c r="B241" s="13" t="s">
        <v>925</v>
      </c>
      <c r="C241" s="13" t="s">
        <v>926</v>
      </c>
      <c r="D241" s="13" t="s">
        <v>927</v>
      </c>
      <c r="E241" s="14" t="s">
        <v>928</v>
      </c>
      <c r="F241" s="15"/>
      <c r="G241" s="15"/>
    </row>
    <row r="242" ht="38.25" spans="1:7">
      <c r="A242" s="13" t="s">
        <v>929</v>
      </c>
      <c r="B242" s="13"/>
      <c r="C242" s="13" t="s">
        <v>930</v>
      </c>
      <c r="D242" s="13" t="s">
        <v>931</v>
      </c>
      <c r="E242" s="14" t="s">
        <v>135</v>
      </c>
      <c r="F242" s="15"/>
      <c r="G242" s="15"/>
    </row>
    <row r="243" ht="25.5" spans="1:7">
      <c r="A243" s="13" t="s">
        <v>932</v>
      </c>
      <c r="B243" s="13"/>
      <c r="C243" s="13" t="s">
        <v>933</v>
      </c>
      <c r="D243" s="13" t="s">
        <v>934</v>
      </c>
      <c r="E243" s="14" t="s">
        <v>928</v>
      </c>
      <c r="F243" s="15"/>
      <c r="G243" s="15"/>
    </row>
    <row r="244" ht="25.5" spans="1:7">
      <c r="A244" s="13" t="s">
        <v>935</v>
      </c>
      <c r="B244" s="13"/>
      <c r="C244" s="13" t="s">
        <v>936</v>
      </c>
      <c r="D244" s="13" t="s">
        <v>937</v>
      </c>
      <c r="E244" s="14" t="s">
        <v>648</v>
      </c>
      <c r="F244" s="15"/>
      <c r="G244" s="15"/>
    </row>
    <row r="245" ht="25.5" spans="1:7">
      <c r="A245" s="13" t="s">
        <v>938</v>
      </c>
      <c r="B245" s="13"/>
      <c r="C245" s="13" t="s">
        <v>939</v>
      </c>
      <c r="D245" s="13" t="s">
        <v>940</v>
      </c>
      <c r="E245" s="14" t="s">
        <v>941</v>
      </c>
      <c r="F245" s="15"/>
      <c r="G245" s="15"/>
    </row>
    <row r="246" ht="76.5" spans="1:7">
      <c r="A246" s="13" t="s">
        <v>942</v>
      </c>
      <c r="B246" s="13"/>
      <c r="C246" s="13" t="s">
        <v>943</v>
      </c>
      <c r="D246" s="13" t="s">
        <v>944</v>
      </c>
      <c r="E246" s="14" t="s">
        <v>215</v>
      </c>
      <c r="F246" s="15"/>
      <c r="G246" s="15"/>
    </row>
    <row r="247" ht="38.25" spans="1:7">
      <c r="A247" s="13" t="s">
        <v>945</v>
      </c>
      <c r="B247" s="13"/>
      <c r="C247" s="13" t="s">
        <v>946</v>
      </c>
      <c r="D247" s="13" t="s">
        <v>947</v>
      </c>
      <c r="E247" s="14" t="s">
        <v>928</v>
      </c>
      <c r="F247" s="15"/>
      <c r="G247" s="15"/>
    </row>
    <row r="248" ht="25.5" spans="1:7">
      <c r="A248" s="13" t="s">
        <v>948</v>
      </c>
      <c r="B248" s="13" t="s">
        <v>949</v>
      </c>
      <c r="C248" s="13" t="s">
        <v>950</v>
      </c>
      <c r="D248" s="13" t="s">
        <v>951</v>
      </c>
      <c r="E248" s="14" t="s">
        <v>215</v>
      </c>
      <c r="F248" s="15"/>
      <c r="G248" s="15"/>
    </row>
    <row r="249" ht="25.5" spans="1:7">
      <c r="A249" s="13" t="s">
        <v>952</v>
      </c>
      <c r="B249" s="13"/>
      <c r="C249" s="13" t="s">
        <v>953</v>
      </c>
      <c r="D249" s="13" t="s">
        <v>954</v>
      </c>
      <c r="E249" s="14" t="s">
        <v>215</v>
      </c>
      <c r="F249" s="15"/>
      <c r="G249" s="15"/>
    </row>
    <row r="250" ht="89.25" spans="1:7">
      <c r="A250" s="13" t="s">
        <v>955</v>
      </c>
      <c r="B250" s="13"/>
      <c r="C250" s="13" t="s">
        <v>956</v>
      </c>
      <c r="D250" s="13" t="s">
        <v>957</v>
      </c>
      <c r="E250" s="14" t="s">
        <v>215</v>
      </c>
      <c r="F250" s="15"/>
      <c r="G250" s="15"/>
    </row>
    <row r="251" ht="25.5" spans="1:7">
      <c r="A251" s="13" t="s">
        <v>958</v>
      </c>
      <c r="B251" s="13"/>
      <c r="C251" s="13" t="s">
        <v>959</v>
      </c>
      <c r="D251" s="13" t="s">
        <v>727</v>
      </c>
      <c r="E251" s="14" t="s">
        <v>202</v>
      </c>
      <c r="F251" s="15"/>
      <c r="G251" s="15"/>
    </row>
    <row r="252" ht="25.5" spans="1:7">
      <c r="A252" s="13" t="s">
        <v>960</v>
      </c>
      <c r="B252" s="13"/>
      <c r="C252" s="13" t="s">
        <v>961</v>
      </c>
      <c r="D252" s="13" t="s">
        <v>962</v>
      </c>
      <c r="E252" s="14" t="s">
        <v>215</v>
      </c>
      <c r="F252" s="15"/>
      <c r="G252" s="15"/>
    </row>
    <row r="253" spans="1:7">
      <c r="A253" s="13" t="s">
        <v>963</v>
      </c>
      <c r="B253" s="13"/>
      <c r="C253" s="13" t="s">
        <v>964</v>
      </c>
      <c r="D253" s="13" t="s">
        <v>730</v>
      </c>
      <c r="E253" s="14" t="s">
        <v>314</v>
      </c>
      <c r="F253" s="15"/>
      <c r="G253" s="15"/>
    </row>
    <row r="254" ht="89.25" spans="1:7">
      <c r="A254" s="13" t="s">
        <v>965</v>
      </c>
      <c r="B254" s="13"/>
      <c r="C254" s="13" t="s">
        <v>966</v>
      </c>
      <c r="D254" s="13" t="s">
        <v>967</v>
      </c>
      <c r="E254" s="14" t="s">
        <v>215</v>
      </c>
      <c r="F254" s="15"/>
      <c r="G254" s="15"/>
    </row>
    <row r="255" spans="1:7">
      <c r="A255" s="13" t="s">
        <v>968</v>
      </c>
      <c r="B255" s="13"/>
      <c r="C255" s="13" t="s">
        <v>969</v>
      </c>
      <c r="D255" s="13" t="s">
        <v>747</v>
      </c>
      <c r="E255" s="14" t="s">
        <v>151</v>
      </c>
      <c r="F255" s="15"/>
      <c r="G255" s="15"/>
    </row>
    <row r="256" ht="25.5" spans="1:7">
      <c r="A256" s="13" t="s">
        <v>970</v>
      </c>
      <c r="B256" s="13"/>
      <c r="C256" s="13" t="s">
        <v>971</v>
      </c>
      <c r="D256" s="13" t="s">
        <v>972</v>
      </c>
      <c r="E256" s="14" t="s">
        <v>648</v>
      </c>
      <c r="F256" s="15"/>
      <c r="G256" s="15"/>
    </row>
    <row r="257" ht="25.5" spans="1:7">
      <c r="A257" s="13" t="s">
        <v>973</v>
      </c>
      <c r="B257" s="13"/>
      <c r="C257" s="13" t="s">
        <v>974</v>
      </c>
      <c r="D257" s="13" t="s">
        <v>975</v>
      </c>
      <c r="E257" s="14" t="s">
        <v>215</v>
      </c>
      <c r="F257" s="15"/>
      <c r="G257" s="15"/>
    </row>
    <row r="258" ht="38.25" spans="1:7">
      <c r="A258" s="13" t="s">
        <v>976</v>
      </c>
      <c r="B258" s="13" t="s">
        <v>977</v>
      </c>
      <c r="C258" s="13" t="s">
        <v>978</v>
      </c>
      <c r="D258" s="13" t="s">
        <v>979</v>
      </c>
      <c r="E258" s="14" t="s">
        <v>215</v>
      </c>
      <c r="F258" s="15"/>
      <c r="G258" s="15"/>
    </row>
    <row r="259" ht="38.25" spans="1:7">
      <c r="A259" s="13" t="s">
        <v>980</v>
      </c>
      <c r="B259" s="13" t="s">
        <v>981</v>
      </c>
      <c r="C259" s="13" t="s">
        <v>982</v>
      </c>
      <c r="D259" s="13" t="s">
        <v>983</v>
      </c>
      <c r="E259" s="14" t="s">
        <v>215</v>
      </c>
      <c r="F259" s="15"/>
      <c r="G259" s="15"/>
    </row>
    <row r="260" ht="38.25" spans="1:7">
      <c r="A260" s="13" t="s">
        <v>984</v>
      </c>
      <c r="B260" s="13" t="s">
        <v>985</v>
      </c>
      <c r="C260" s="13" t="s">
        <v>986</v>
      </c>
      <c r="D260" s="13" t="s">
        <v>987</v>
      </c>
      <c r="E260" s="14" t="s">
        <v>215</v>
      </c>
      <c r="F260" s="15"/>
      <c r="G260" s="15"/>
    </row>
    <row r="261" ht="25.5" spans="1:7">
      <c r="A261" s="13" t="s">
        <v>988</v>
      </c>
      <c r="B261" s="13"/>
      <c r="C261" s="13" t="s">
        <v>989</v>
      </c>
      <c r="D261" s="13" t="s">
        <v>990</v>
      </c>
      <c r="E261" s="14" t="s">
        <v>928</v>
      </c>
      <c r="F261" s="15"/>
      <c r="G261" s="15"/>
    </row>
    <row r="262" ht="114.75" spans="1:7">
      <c r="A262" s="13" t="s">
        <v>991</v>
      </c>
      <c r="B262" s="13" t="s">
        <v>992</v>
      </c>
      <c r="C262" s="13" t="s">
        <v>993</v>
      </c>
      <c r="D262" s="13" t="s">
        <v>994</v>
      </c>
      <c r="E262" s="14" t="s">
        <v>151</v>
      </c>
      <c r="F262" s="15"/>
      <c r="G262" s="15"/>
    </row>
    <row r="263" ht="25.5" spans="1:7">
      <c r="A263" s="13" t="s">
        <v>995</v>
      </c>
      <c r="B263" s="13" t="s">
        <v>996</v>
      </c>
      <c r="C263" s="13" t="s">
        <v>997</v>
      </c>
      <c r="D263" s="13" t="s">
        <v>998</v>
      </c>
      <c r="E263" s="14" t="s">
        <v>928</v>
      </c>
      <c r="F263" s="15"/>
      <c r="G263" s="15"/>
    </row>
    <row r="264" ht="102" spans="1:7">
      <c r="A264" s="13" t="s">
        <v>999</v>
      </c>
      <c r="B264" s="13" t="s">
        <v>1000</v>
      </c>
      <c r="C264" s="13" t="s">
        <v>1001</v>
      </c>
      <c r="D264" s="13" t="s">
        <v>1002</v>
      </c>
      <c r="E264" s="14" t="s">
        <v>126</v>
      </c>
      <c r="F264" s="15"/>
      <c r="G264" s="15"/>
    </row>
    <row r="265" ht="204" spans="1:7">
      <c r="A265" s="13" t="s">
        <v>1003</v>
      </c>
      <c r="B265" s="13" t="s">
        <v>1004</v>
      </c>
      <c r="C265" s="13" t="s">
        <v>1005</v>
      </c>
      <c r="D265" s="13" t="s">
        <v>1006</v>
      </c>
      <c r="E265" s="14" t="s">
        <v>220</v>
      </c>
      <c r="F265" s="15"/>
      <c r="G265" s="15"/>
    </row>
    <row r="266" ht="191.25" spans="1:7">
      <c r="A266" s="13" t="s">
        <v>1007</v>
      </c>
      <c r="B266" s="13" t="s">
        <v>1008</v>
      </c>
      <c r="C266" s="13" t="s">
        <v>1009</v>
      </c>
      <c r="D266" s="13" t="s">
        <v>1010</v>
      </c>
      <c r="E266" s="14" t="s">
        <v>220</v>
      </c>
      <c r="F266" s="15"/>
      <c r="G266" s="15"/>
    </row>
    <row r="267" ht="102" spans="1:7">
      <c r="A267" s="13" t="s">
        <v>1011</v>
      </c>
      <c r="B267" s="13" t="s">
        <v>1012</v>
      </c>
      <c r="C267" s="13" t="s">
        <v>1013</v>
      </c>
      <c r="D267" s="13" t="s">
        <v>1014</v>
      </c>
      <c r="E267" s="14" t="s">
        <v>126</v>
      </c>
      <c r="F267" s="15"/>
      <c r="G267" s="15"/>
    </row>
    <row r="268" ht="204" spans="1:7">
      <c r="A268" s="13" t="s">
        <v>1015</v>
      </c>
      <c r="B268" s="13" t="s">
        <v>1016</v>
      </c>
      <c r="C268" s="13" t="s">
        <v>1017</v>
      </c>
      <c r="D268" s="13" t="s">
        <v>1018</v>
      </c>
      <c r="E268" s="14" t="s">
        <v>220</v>
      </c>
      <c r="F268" s="15"/>
      <c r="G268" s="15"/>
    </row>
    <row r="269" ht="191.25" spans="1:7">
      <c r="A269" s="13" t="s">
        <v>1019</v>
      </c>
      <c r="B269" s="13" t="s">
        <v>1020</v>
      </c>
      <c r="C269" s="13" t="s">
        <v>1021</v>
      </c>
      <c r="D269" s="13" t="s">
        <v>1022</v>
      </c>
      <c r="E269" s="14" t="s">
        <v>220</v>
      </c>
      <c r="F269" s="15"/>
      <c r="G269" s="15"/>
    </row>
    <row r="270" ht="63.75" spans="1:7">
      <c r="A270" s="13" t="s">
        <v>1023</v>
      </c>
      <c r="B270" s="13" t="s">
        <v>1024</v>
      </c>
      <c r="C270" s="13" t="s">
        <v>1025</v>
      </c>
      <c r="D270" s="13" t="s">
        <v>1026</v>
      </c>
      <c r="E270" s="14" t="s">
        <v>126</v>
      </c>
      <c r="F270" s="15"/>
      <c r="G270" s="15"/>
    </row>
    <row r="271" ht="102" spans="1:7">
      <c r="A271" s="13" t="s">
        <v>1027</v>
      </c>
      <c r="B271" s="13" t="s">
        <v>1028</v>
      </c>
      <c r="C271" s="13" t="s">
        <v>1029</v>
      </c>
      <c r="D271" s="13" t="s">
        <v>1030</v>
      </c>
      <c r="E271" s="14" t="s">
        <v>126</v>
      </c>
      <c r="F271" s="15"/>
      <c r="G271" s="15"/>
    </row>
    <row r="272" ht="102" spans="1:7">
      <c r="A272" s="13" t="s">
        <v>1031</v>
      </c>
      <c r="B272" s="13" t="s">
        <v>1032</v>
      </c>
      <c r="C272" s="13" t="s">
        <v>1033</v>
      </c>
      <c r="D272" s="13" t="s">
        <v>1034</v>
      </c>
      <c r="E272" s="14" t="s">
        <v>126</v>
      </c>
      <c r="F272" s="15"/>
      <c r="G272" s="15"/>
    </row>
    <row r="273" ht="25.5" spans="1:7">
      <c r="A273" s="13" t="s">
        <v>1035</v>
      </c>
      <c r="B273" s="13" t="s">
        <v>1036</v>
      </c>
      <c r="C273" s="13" t="s">
        <v>1037</v>
      </c>
      <c r="D273" s="13" t="s">
        <v>1038</v>
      </c>
      <c r="E273" s="14" t="s">
        <v>720</v>
      </c>
      <c r="F273" s="15"/>
      <c r="G273" s="15"/>
    </row>
    <row r="274" ht="38.25" spans="1:7">
      <c r="A274" s="13" t="s">
        <v>1039</v>
      </c>
      <c r="B274" s="13" t="s">
        <v>1040</v>
      </c>
      <c r="C274" s="13" t="s">
        <v>1041</v>
      </c>
      <c r="D274" s="13" t="s">
        <v>1042</v>
      </c>
      <c r="E274" s="14" t="s">
        <v>720</v>
      </c>
      <c r="F274" s="15"/>
      <c r="G274" s="15"/>
    </row>
    <row r="275" ht="25.5" spans="1:7">
      <c r="A275" s="13" t="s">
        <v>1043</v>
      </c>
      <c r="B275" s="13"/>
      <c r="C275" s="13" t="s">
        <v>1044</v>
      </c>
      <c r="D275" s="13" t="s">
        <v>727</v>
      </c>
      <c r="E275" s="14" t="s">
        <v>202</v>
      </c>
      <c r="F275" s="15"/>
      <c r="G275" s="15"/>
    </row>
    <row r="276" spans="1:7">
      <c r="A276" s="13" t="s">
        <v>1045</v>
      </c>
      <c r="B276" s="13"/>
      <c r="C276" s="13" t="s">
        <v>1046</v>
      </c>
      <c r="D276" s="13" t="s">
        <v>730</v>
      </c>
      <c r="E276" s="14" t="s">
        <v>314</v>
      </c>
      <c r="F276" s="15"/>
      <c r="G276" s="15"/>
    </row>
    <row r="277" ht="25.5" spans="1:7">
      <c r="A277" s="13" t="s">
        <v>1047</v>
      </c>
      <c r="B277" s="13"/>
      <c r="C277" s="13" t="s">
        <v>1048</v>
      </c>
      <c r="D277" s="13" t="s">
        <v>741</v>
      </c>
      <c r="E277" s="14" t="s">
        <v>928</v>
      </c>
      <c r="F277" s="15"/>
      <c r="G277" s="15"/>
    </row>
    <row r="278" ht="25.5" spans="1:7">
      <c r="A278" s="13" t="s">
        <v>1049</v>
      </c>
      <c r="B278" s="13"/>
      <c r="C278" s="13" t="s">
        <v>1050</v>
      </c>
      <c r="D278" s="13" t="s">
        <v>744</v>
      </c>
      <c r="E278" s="14" t="s">
        <v>314</v>
      </c>
      <c r="F278" s="15"/>
      <c r="G278" s="15"/>
    </row>
    <row r="279" ht="38.25" spans="1:7">
      <c r="A279" s="13" t="s">
        <v>1051</v>
      </c>
      <c r="B279" s="13" t="s">
        <v>1052</v>
      </c>
      <c r="C279" s="13" t="s">
        <v>1053</v>
      </c>
      <c r="D279" s="13" t="s">
        <v>1054</v>
      </c>
      <c r="E279" s="14" t="s">
        <v>126</v>
      </c>
      <c r="F279" s="15"/>
      <c r="G279" s="15"/>
    </row>
    <row r="280" ht="63.75" spans="1:7">
      <c r="A280" s="13" t="s">
        <v>1055</v>
      </c>
      <c r="B280" s="13" t="s">
        <v>1056</v>
      </c>
      <c r="C280" s="13" t="s">
        <v>1057</v>
      </c>
      <c r="D280" s="13" t="s">
        <v>1058</v>
      </c>
      <c r="E280" s="14" t="s">
        <v>215</v>
      </c>
      <c r="F280" s="15"/>
      <c r="G280" s="15"/>
    </row>
    <row r="281" ht="63.75" spans="1:7">
      <c r="A281" s="13" t="s">
        <v>1059</v>
      </c>
      <c r="B281" s="13" t="s">
        <v>1060</v>
      </c>
      <c r="C281" s="13" t="s">
        <v>1061</v>
      </c>
      <c r="D281" s="13" t="s">
        <v>1062</v>
      </c>
      <c r="E281" s="14" t="s">
        <v>215</v>
      </c>
      <c r="F281" s="15"/>
      <c r="G281" s="15"/>
    </row>
    <row r="282" spans="1:7">
      <c r="A282" s="13" t="s">
        <v>1063</v>
      </c>
      <c r="B282" s="13"/>
      <c r="C282" s="13" t="s">
        <v>1064</v>
      </c>
      <c r="D282" s="13" t="s">
        <v>747</v>
      </c>
      <c r="E282" s="14" t="s">
        <v>126</v>
      </c>
      <c r="F282" s="15"/>
      <c r="G282" s="15"/>
    </row>
    <row r="283" ht="25.5" spans="1:7">
      <c r="A283" s="13" t="s">
        <v>1065</v>
      </c>
      <c r="B283" s="13"/>
      <c r="C283" s="13" t="s">
        <v>1066</v>
      </c>
      <c r="D283" s="13" t="s">
        <v>1067</v>
      </c>
      <c r="E283" s="14" t="s">
        <v>648</v>
      </c>
      <c r="F283" s="15"/>
      <c r="G283" s="15"/>
    </row>
    <row r="284" ht="76.5" spans="1:7">
      <c r="A284" s="13" t="s">
        <v>1068</v>
      </c>
      <c r="B284" s="13" t="s">
        <v>1069</v>
      </c>
      <c r="C284" s="13" t="s">
        <v>1070</v>
      </c>
      <c r="D284" s="13" t="s">
        <v>1071</v>
      </c>
      <c r="E284" s="14" t="s">
        <v>706</v>
      </c>
      <c r="F284" s="15"/>
      <c r="G284" s="15"/>
    </row>
    <row r="285" ht="76.5" spans="1:7">
      <c r="A285" s="13" t="s">
        <v>1072</v>
      </c>
      <c r="B285" s="13" t="s">
        <v>1073</v>
      </c>
      <c r="C285" s="13" t="s">
        <v>1074</v>
      </c>
      <c r="D285" s="13" t="s">
        <v>1075</v>
      </c>
      <c r="E285" s="14" t="s">
        <v>706</v>
      </c>
      <c r="F285" s="15"/>
      <c r="G285" s="15"/>
    </row>
    <row r="286" ht="38.25" spans="1:7">
      <c r="A286" s="13" t="s">
        <v>1076</v>
      </c>
      <c r="B286" s="13"/>
      <c r="C286" s="13" t="s">
        <v>1077</v>
      </c>
      <c r="D286" s="13" t="s">
        <v>1078</v>
      </c>
      <c r="E286" s="14" t="s">
        <v>215</v>
      </c>
      <c r="F286" s="15"/>
      <c r="G286" s="15"/>
    </row>
    <row r="287" ht="25.5" spans="1:7">
      <c r="A287" s="13" t="s">
        <v>1079</v>
      </c>
      <c r="B287" s="13"/>
      <c r="C287" s="13" t="s">
        <v>1080</v>
      </c>
      <c r="D287" s="13" t="s">
        <v>1081</v>
      </c>
      <c r="E287" s="14" t="s">
        <v>215</v>
      </c>
      <c r="F287" s="15"/>
      <c r="G287" s="15"/>
    </row>
    <row r="288" ht="25.5" spans="1:7">
      <c r="A288" s="13" t="s">
        <v>1082</v>
      </c>
      <c r="B288" s="13"/>
      <c r="C288" s="13" t="s">
        <v>1083</v>
      </c>
      <c r="D288" s="13" t="s">
        <v>1084</v>
      </c>
      <c r="E288" s="14" t="s">
        <v>763</v>
      </c>
      <c r="F288" s="15"/>
      <c r="G288" s="15"/>
    </row>
    <row r="289" ht="191.25" spans="1:7">
      <c r="A289" s="13" t="s">
        <v>1085</v>
      </c>
      <c r="B289" s="13" t="s">
        <v>1086</v>
      </c>
      <c r="C289" s="13" t="s">
        <v>1087</v>
      </c>
      <c r="D289" s="13" t="s">
        <v>1088</v>
      </c>
      <c r="E289" s="14" t="s">
        <v>135</v>
      </c>
      <c r="F289" s="15"/>
      <c r="G289" s="15"/>
    </row>
    <row r="290" ht="191.25" spans="1:7">
      <c r="A290" s="13" t="s">
        <v>1089</v>
      </c>
      <c r="B290" s="13" t="s">
        <v>1090</v>
      </c>
      <c r="C290" s="13" t="s">
        <v>1091</v>
      </c>
      <c r="D290" s="13" t="s">
        <v>1092</v>
      </c>
      <c r="E290" s="14" t="s">
        <v>135</v>
      </c>
      <c r="F290" s="15"/>
      <c r="G290" s="15"/>
    </row>
    <row r="291" ht="38.25" spans="1:7">
      <c r="A291" s="13" t="s">
        <v>1093</v>
      </c>
      <c r="B291" s="13"/>
      <c r="C291" s="13" t="s">
        <v>1094</v>
      </c>
      <c r="D291" s="13" t="s">
        <v>1095</v>
      </c>
      <c r="E291" s="14" t="s">
        <v>215</v>
      </c>
      <c r="F291" s="15"/>
      <c r="G291" s="15"/>
    </row>
    <row r="292" ht="25.5" spans="1:7">
      <c r="A292" s="13" t="s">
        <v>1096</v>
      </c>
      <c r="B292" s="13"/>
      <c r="C292" s="13" t="s">
        <v>1097</v>
      </c>
      <c r="D292" s="13" t="s">
        <v>651</v>
      </c>
      <c r="E292" s="14" t="s">
        <v>215</v>
      </c>
      <c r="F292" s="15"/>
      <c r="G292" s="15"/>
    </row>
    <row r="293" spans="1:7">
      <c r="A293" s="13" t="s">
        <v>1098</v>
      </c>
      <c r="B293" s="13" t="s">
        <v>1099</v>
      </c>
      <c r="C293" s="13" t="s">
        <v>1100</v>
      </c>
      <c r="D293" s="13" t="s">
        <v>1101</v>
      </c>
      <c r="E293" s="14" t="s">
        <v>135</v>
      </c>
      <c r="F293" s="15"/>
      <c r="G293" s="15"/>
    </row>
    <row r="294" ht="38.25" spans="1:7">
      <c r="A294" s="13" t="s">
        <v>1102</v>
      </c>
      <c r="B294" s="13" t="s">
        <v>1103</v>
      </c>
      <c r="C294" s="13" t="s">
        <v>1104</v>
      </c>
      <c r="D294" s="13" t="s">
        <v>1105</v>
      </c>
      <c r="E294" s="14" t="s">
        <v>126</v>
      </c>
      <c r="F294" s="15"/>
      <c r="G294" s="15"/>
    </row>
    <row r="295" ht="25.5" spans="1:7">
      <c r="A295" s="13" t="s">
        <v>1106</v>
      </c>
      <c r="B295" s="13" t="s">
        <v>1107</v>
      </c>
      <c r="C295" s="13" t="s">
        <v>1108</v>
      </c>
      <c r="D295" s="13" t="s">
        <v>1109</v>
      </c>
      <c r="E295" s="14" t="s">
        <v>126</v>
      </c>
      <c r="F295" s="15"/>
      <c r="G295" s="15"/>
    </row>
    <row r="296" spans="1:7">
      <c r="A296" s="13" t="s">
        <v>1110</v>
      </c>
      <c r="B296" s="13"/>
      <c r="C296" s="13" t="s">
        <v>1111</v>
      </c>
      <c r="D296" s="13" t="s">
        <v>1112</v>
      </c>
      <c r="E296" s="14" t="s">
        <v>215</v>
      </c>
      <c r="F296" s="15"/>
      <c r="G296" s="15"/>
    </row>
    <row r="297" spans="1:7">
      <c r="A297" s="13" t="s">
        <v>1113</v>
      </c>
      <c r="B297" s="13"/>
      <c r="C297" s="13" t="s">
        <v>1114</v>
      </c>
      <c r="D297" s="13" t="s">
        <v>1115</v>
      </c>
      <c r="E297" s="14" t="s">
        <v>928</v>
      </c>
      <c r="F297" s="15"/>
      <c r="G297" s="15"/>
    </row>
    <row r="298" ht="25.5" spans="1:7">
      <c r="A298" s="13" t="s">
        <v>1116</v>
      </c>
      <c r="B298" s="13"/>
      <c r="C298" s="13" t="s">
        <v>1117</v>
      </c>
      <c r="D298" s="13" t="s">
        <v>1118</v>
      </c>
      <c r="E298" s="14" t="s">
        <v>314</v>
      </c>
      <c r="F298" s="15"/>
      <c r="G298" s="15"/>
    </row>
    <row r="299" spans="1:7">
      <c r="A299" s="13" t="s">
        <v>1119</v>
      </c>
      <c r="B299" s="13" t="s">
        <v>1120</v>
      </c>
      <c r="C299" s="13" t="s">
        <v>1121</v>
      </c>
      <c r="D299" s="13" t="s">
        <v>1122</v>
      </c>
      <c r="E299" s="14" t="s">
        <v>151</v>
      </c>
      <c r="F299" s="15"/>
      <c r="G299" s="15"/>
    </row>
    <row r="300" ht="25.5" spans="1:7">
      <c r="A300" s="13" t="s">
        <v>1123</v>
      </c>
      <c r="B300" s="13" t="s">
        <v>1124</v>
      </c>
      <c r="C300" s="13" t="s">
        <v>1125</v>
      </c>
      <c r="D300" s="13" t="s">
        <v>1126</v>
      </c>
      <c r="E300" s="14" t="s">
        <v>135</v>
      </c>
      <c r="F300" s="15"/>
      <c r="G300" s="15"/>
    </row>
    <row r="301" ht="114.75" spans="1:7">
      <c r="A301" s="13" t="s">
        <v>1127</v>
      </c>
      <c r="B301" s="13" t="s">
        <v>1128</v>
      </c>
      <c r="C301" s="13" t="s">
        <v>1129</v>
      </c>
      <c r="D301" s="13" t="s">
        <v>1130</v>
      </c>
      <c r="E301" s="14" t="s">
        <v>135</v>
      </c>
      <c r="F301" s="15"/>
      <c r="G301" s="15"/>
    </row>
    <row r="302" ht="114.75" spans="1:7">
      <c r="A302" s="13" t="s">
        <v>1131</v>
      </c>
      <c r="B302" s="13" t="s">
        <v>1132</v>
      </c>
      <c r="C302" s="13" t="s">
        <v>1133</v>
      </c>
      <c r="D302" s="13" t="s">
        <v>1134</v>
      </c>
      <c r="E302" s="14" t="s">
        <v>135</v>
      </c>
      <c r="F302" s="15"/>
      <c r="G302" s="15"/>
    </row>
    <row r="303" ht="89.25" spans="1:7">
      <c r="A303" s="13" t="s">
        <v>1135</v>
      </c>
      <c r="B303" s="13" t="s">
        <v>1136</v>
      </c>
      <c r="C303" s="13" t="s">
        <v>1137</v>
      </c>
      <c r="D303" s="13" t="s">
        <v>1138</v>
      </c>
      <c r="E303" s="14" t="s">
        <v>126</v>
      </c>
      <c r="F303" s="15"/>
      <c r="G303" s="15"/>
    </row>
    <row r="304" ht="89.25" spans="1:7">
      <c r="A304" s="13" t="s">
        <v>1139</v>
      </c>
      <c r="B304" s="13" t="s">
        <v>1140</v>
      </c>
      <c r="C304" s="13" t="s">
        <v>1141</v>
      </c>
      <c r="D304" s="13" t="s">
        <v>1142</v>
      </c>
      <c r="E304" s="14" t="s">
        <v>126</v>
      </c>
      <c r="F304" s="15"/>
      <c r="G304" s="15"/>
    </row>
    <row r="305" ht="25.5" spans="1:7">
      <c r="A305" s="13" t="s">
        <v>1143</v>
      </c>
      <c r="B305" s="13"/>
      <c r="C305" s="13" t="s">
        <v>1144</v>
      </c>
      <c r="D305" s="13" t="s">
        <v>1081</v>
      </c>
      <c r="E305" s="14" t="s">
        <v>215</v>
      </c>
      <c r="F305" s="15"/>
      <c r="G305" s="15"/>
    </row>
    <row r="306" spans="1:7">
      <c r="A306" s="13" t="s">
        <v>1145</v>
      </c>
      <c r="B306" s="13"/>
      <c r="C306" s="13" t="s">
        <v>1146</v>
      </c>
      <c r="D306" s="13" t="s">
        <v>1147</v>
      </c>
      <c r="E306" s="14" t="s">
        <v>215</v>
      </c>
      <c r="F306" s="15"/>
      <c r="G306" s="15"/>
    </row>
    <row r="307" ht="25.5" spans="1:7">
      <c r="A307" s="13" t="s">
        <v>1148</v>
      </c>
      <c r="B307" s="13"/>
      <c r="C307" s="13" t="s">
        <v>1149</v>
      </c>
      <c r="D307" s="13" t="s">
        <v>663</v>
      </c>
      <c r="E307" s="14" t="s">
        <v>664</v>
      </c>
      <c r="F307" s="15"/>
      <c r="G307" s="15"/>
    </row>
    <row r="308" ht="25.5" spans="1:7">
      <c r="A308" s="13" t="s">
        <v>1150</v>
      </c>
      <c r="B308" s="13"/>
      <c r="C308" s="13" t="s">
        <v>1151</v>
      </c>
      <c r="D308" s="13" t="s">
        <v>1152</v>
      </c>
      <c r="E308" s="14" t="s">
        <v>763</v>
      </c>
      <c r="F308" s="15"/>
      <c r="G308" s="15"/>
    </row>
    <row r="309" ht="38.25" spans="1:7">
      <c r="A309" s="13" t="s">
        <v>1153</v>
      </c>
      <c r="B309" s="13"/>
      <c r="C309" s="13" t="s">
        <v>1154</v>
      </c>
      <c r="D309" s="13" t="s">
        <v>1155</v>
      </c>
      <c r="E309" s="14" t="s">
        <v>245</v>
      </c>
      <c r="F309" s="15"/>
      <c r="G309" s="15"/>
    </row>
    <row r="310" ht="38.25" spans="1:7">
      <c r="A310" s="13" t="s">
        <v>1156</v>
      </c>
      <c r="B310" s="13" t="s">
        <v>1157</v>
      </c>
      <c r="C310" s="13" t="s">
        <v>1158</v>
      </c>
      <c r="D310" s="13" t="s">
        <v>1159</v>
      </c>
      <c r="E310" s="14" t="s">
        <v>225</v>
      </c>
      <c r="F310" s="15"/>
      <c r="G310" s="15"/>
    </row>
    <row r="311" ht="25.5" spans="1:7">
      <c r="A311" s="13" t="s">
        <v>1160</v>
      </c>
      <c r="B311" s="13"/>
      <c r="C311" s="13" t="s">
        <v>1161</v>
      </c>
      <c r="D311" s="13" t="s">
        <v>1162</v>
      </c>
      <c r="E311" s="14" t="s">
        <v>135</v>
      </c>
      <c r="F311" s="15"/>
      <c r="G311" s="15"/>
    </row>
    <row r="312" ht="25.5" spans="1:7">
      <c r="A312" s="13" t="s">
        <v>1163</v>
      </c>
      <c r="B312" s="13"/>
      <c r="C312" s="13" t="s">
        <v>1164</v>
      </c>
      <c r="D312" s="13" t="s">
        <v>1165</v>
      </c>
      <c r="E312" s="14" t="s">
        <v>135</v>
      </c>
      <c r="F312" s="15"/>
      <c r="G312" s="15"/>
    </row>
    <row r="313" spans="1:7">
      <c r="A313" s="13" t="s">
        <v>1166</v>
      </c>
      <c r="B313" s="13"/>
      <c r="C313" s="13" t="s">
        <v>1167</v>
      </c>
      <c r="D313" s="13" t="s">
        <v>1168</v>
      </c>
      <c r="E313" s="14" t="s">
        <v>135</v>
      </c>
      <c r="F313" s="15"/>
      <c r="G313" s="15"/>
    </row>
    <row r="314" spans="1:7">
      <c r="A314" s="13" t="s">
        <v>1169</v>
      </c>
      <c r="B314" s="13"/>
      <c r="C314" s="13" t="s">
        <v>1170</v>
      </c>
      <c r="D314" s="13" t="s">
        <v>1171</v>
      </c>
      <c r="E314" s="14" t="s">
        <v>135</v>
      </c>
      <c r="F314" s="15"/>
      <c r="G314" s="15"/>
    </row>
    <row r="315" ht="38.25" spans="1:7">
      <c r="A315" s="13" t="s">
        <v>1172</v>
      </c>
      <c r="B315" s="13"/>
      <c r="C315" s="13" t="s">
        <v>1173</v>
      </c>
      <c r="D315" s="13" t="s">
        <v>1174</v>
      </c>
      <c r="E315" s="14" t="s">
        <v>135</v>
      </c>
      <c r="F315" s="15"/>
      <c r="G315" s="15"/>
    </row>
    <row r="316" ht="25.5" spans="1:7">
      <c r="A316" s="13" t="s">
        <v>1175</v>
      </c>
      <c r="B316" s="13"/>
      <c r="C316" s="13" t="s">
        <v>1176</v>
      </c>
      <c r="D316" s="13" t="s">
        <v>1177</v>
      </c>
      <c r="E316" s="14" t="s">
        <v>135</v>
      </c>
      <c r="F316" s="15"/>
      <c r="G316" s="15"/>
    </row>
    <row r="317" ht="38.25" spans="1:7">
      <c r="A317" s="13" t="s">
        <v>1178</v>
      </c>
      <c r="B317" s="13"/>
      <c r="C317" s="13" t="s">
        <v>1179</v>
      </c>
      <c r="D317" s="13" t="s">
        <v>1180</v>
      </c>
      <c r="E317" s="14" t="s">
        <v>664</v>
      </c>
      <c r="F317" s="15"/>
      <c r="G317" s="15"/>
    </row>
    <row r="318" ht="38.25" spans="1:7">
      <c r="A318" s="13" t="s">
        <v>1181</v>
      </c>
      <c r="B318" s="13" t="s">
        <v>1182</v>
      </c>
      <c r="C318" s="13" t="s">
        <v>1183</v>
      </c>
      <c r="D318" s="13" t="s">
        <v>1184</v>
      </c>
      <c r="E318" s="14" t="s">
        <v>126</v>
      </c>
      <c r="F318" s="15"/>
      <c r="G318" s="15"/>
    </row>
    <row r="319" ht="38.25" spans="1:7">
      <c r="A319" s="13" t="s">
        <v>1185</v>
      </c>
      <c r="B319" s="13" t="s">
        <v>1186</v>
      </c>
      <c r="C319" s="13" t="s">
        <v>1187</v>
      </c>
      <c r="D319" s="13" t="s">
        <v>1188</v>
      </c>
      <c r="E319" s="14" t="s">
        <v>126</v>
      </c>
      <c r="F319" s="15"/>
      <c r="G319" s="15"/>
    </row>
    <row r="320" ht="38.25" spans="1:7">
      <c r="A320" s="13" t="s">
        <v>1189</v>
      </c>
      <c r="B320" s="13" t="s">
        <v>1190</v>
      </c>
      <c r="C320" s="13" t="s">
        <v>1191</v>
      </c>
      <c r="D320" s="13" t="s">
        <v>1192</v>
      </c>
      <c r="E320" s="14" t="s">
        <v>126</v>
      </c>
      <c r="F320" s="15"/>
      <c r="G320" s="15"/>
    </row>
    <row r="321" ht="38.25" spans="1:7">
      <c r="A321" s="13" t="s">
        <v>1193</v>
      </c>
      <c r="B321" s="13" t="s">
        <v>1194</v>
      </c>
      <c r="C321" s="13" t="s">
        <v>1195</v>
      </c>
      <c r="D321" s="13" t="s">
        <v>1196</v>
      </c>
      <c r="E321" s="14" t="s">
        <v>25</v>
      </c>
      <c r="F321" s="15"/>
      <c r="G321" s="15"/>
    </row>
    <row r="322" ht="38.25" spans="1:7">
      <c r="A322" s="13" t="s">
        <v>1197</v>
      </c>
      <c r="B322" s="13" t="s">
        <v>1198</v>
      </c>
      <c r="C322" s="13" t="s">
        <v>1199</v>
      </c>
      <c r="D322" s="13" t="s">
        <v>1200</v>
      </c>
      <c r="E322" s="14" t="s">
        <v>25</v>
      </c>
      <c r="F322" s="15"/>
      <c r="G322" s="15"/>
    </row>
    <row r="323" ht="38.25" spans="1:7">
      <c r="A323" s="13" t="s">
        <v>1201</v>
      </c>
      <c r="B323" s="13" t="s">
        <v>1202</v>
      </c>
      <c r="C323" s="13" t="s">
        <v>1203</v>
      </c>
      <c r="D323" s="13" t="s">
        <v>1204</v>
      </c>
      <c r="E323" s="14" t="s">
        <v>25</v>
      </c>
      <c r="F323" s="15"/>
      <c r="G323" s="15"/>
    </row>
    <row r="324" ht="25.5" spans="1:7">
      <c r="A324" s="13" t="s">
        <v>1205</v>
      </c>
      <c r="B324" s="13" t="s">
        <v>1206</v>
      </c>
      <c r="C324" s="13" t="s">
        <v>1207</v>
      </c>
      <c r="D324" s="13" t="s">
        <v>1208</v>
      </c>
      <c r="E324" s="14" t="s">
        <v>664</v>
      </c>
      <c r="F324" s="15"/>
      <c r="G324" s="15"/>
    </row>
    <row r="325" ht="38.25" spans="1:7">
      <c r="A325" s="13" t="s">
        <v>1209</v>
      </c>
      <c r="B325" s="13" t="s">
        <v>1210</v>
      </c>
      <c r="C325" s="13" t="s">
        <v>1211</v>
      </c>
      <c r="D325" s="13" t="s">
        <v>1212</v>
      </c>
      <c r="E325" s="14" t="s">
        <v>126</v>
      </c>
      <c r="F325" s="15"/>
      <c r="G325" s="15"/>
    </row>
    <row r="326" ht="38.25" spans="1:7">
      <c r="A326" s="13" t="s">
        <v>1213</v>
      </c>
      <c r="B326" s="13" t="s">
        <v>1214</v>
      </c>
      <c r="C326" s="13" t="s">
        <v>1215</v>
      </c>
      <c r="D326" s="13" t="s">
        <v>1216</v>
      </c>
      <c r="E326" s="14" t="s">
        <v>126</v>
      </c>
      <c r="F326" s="15"/>
      <c r="G326" s="15"/>
    </row>
    <row r="327" ht="38.25" spans="1:7">
      <c r="A327" s="13" t="s">
        <v>1217</v>
      </c>
      <c r="B327" s="13" t="s">
        <v>1218</v>
      </c>
      <c r="C327" s="13" t="s">
        <v>1219</v>
      </c>
      <c r="D327" s="13" t="s">
        <v>1220</v>
      </c>
      <c r="E327" s="14" t="s">
        <v>126</v>
      </c>
      <c r="F327" s="15"/>
      <c r="G327" s="15"/>
    </row>
    <row r="328" ht="51" spans="1:7">
      <c r="A328" s="16" t="s">
        <v>1221</v>
      </c>
      <c r="B328" s="13" t="s">
        <v>1222</v>
      </c>
      <c r="C328" s="13" t="s">
        <v>1223</v>
      </c>
      <c r="D328" s="16" t="s">
        <v>1224</v>
      </c>
      <c r="E328" s="17" t="s">
        <v>225</v>
      </c>
      <c r="F328" s="15"/>
      <c r="G328" s="15"/>
    </row>
    <row r="329" ht="25.5" spans="1:7">
      <c r="A329" s="13" t="s">
        <v>1225</v>
      </c>
      <c r="B329" s="13" t="s">
        <v>1226</v>
      </c>
      <c r="C329" s="13" t="s">
        <v>1227</v>
      </c>
      <c r="D329" s="13" t="s">
        <v>1228</v>
      </c>
      <c r="E329" s="14" t="s">
        <v>135</v>
      </c>
      <c r="F329" s="15"/>
      <c r="G329" s="15"/>
    </row>
    <row r="330" ht="25.5" spans="1:7">
      <c r="A330" s="13" t="s">
        <v>1229</v>
      </c>
      <c r="B330" s="13" t="s">
        <v>1230</v>
      </c>
      <c r="C330" s="13" t="s">
        <v>1231</v>
      </c>
      <c r="D330" s="13" t="s">
        <v>1232</v>
      </c>
      <c r="E330" s="14" t="s">
        <v>135</v>
      </c>
      <c r="F330" s="15"/>
      <c r="G330" s="15"/>
    </row>
    <row r="331" ht="38.25" spans="1:7">
      <c r="A331" s="13" t="s">
        <v>1233</v>
      </c>
      <c r="B331" s="13" t="s">
        <v>1234</v>
      </c>
      <c r="C331" s="13" t="s">
        <v>1235</v>
      </c>
      <c r="D331" s="13" t="s">
        <v>1236</v>
      </c>
      <c r="E331" s="14" t="s">
        <v>126</v>
      </c>
      <c r="F331" s="15"/>
      <c r="G331" s="15"/>
    </row>
    <row r="332" ht="102" spans="1:7">
      <c r="A332" s="13" t="s">
        <v>1237</v>
      </c>
      <c r="B332" s="13" t="s">
        <v>1238</v>
      </c>
      <c r="C332" s="13" t="s">
        <v>1239</v>
      </c>
      <c r="D332" s="13" t="s">
        <v>1240</v>
      </c>
      <c r="E332" s="14" t="s">
        <v>225</v>
      </c>
      <c r="F332" s="15"/>
      <c r="G332" s="15"/>
    </row>
    <row r="333" ht="51" spans="1:7">
      <c r="A333" s="13" t="s">
        <v>1241</v>
      </c>
      <c r="B333" s="13" t="s">
        <v>1242</v>
      </c>
      <c r="C333" s="13" t="s">
        <v>1243</v>
      </c>
      <c r="D333" s="13" t="s">
        <v>1244</v>
      </c>
      <c r="E333" s="14" t="s">
        <v>25</v>
      </c>
      <c r="F333" s="15"/>
      <c r="G333" s="15"/>
    </row>
    <row r="334" ht="51" spans="1:7">
      <c r="A334" s="13" t="s">
        <v>1245</v>
      </c>
      <c r="B334" s="13" t="s">
        <v>1246</v>
      </c>
      <c r="C334" s="13" t="s">
        <v>1247</v>
      </c>
      <c r="D334" s="13" t="s">
        <v>1248</v>
      </c>
      <c r="E334" s="14" t="s">
        <v>151</v>
      </c>
      <c r="F334" s="15"/>
      <c r="G334" s="15"/>
    </row>
    <row r="335" ht="38.25" spans="1:7">
      <c r="A335" s="13" t="s">
        <v>1249</v>
      </c>
      <c r="B335" s="13" t="s">
        <v>1250</v>
      </c>
      <c r="C335" s="13" t="s">
        <v>1251</v>
      </c>
      <c r="D335" s="13" t="s">
        <v>1252</v>
      </c>
      <c r="E335" s="14" t="s">
        <v>220</v>
      </c>
      <c r="F335" s="15"/>
      <c r="G335" s="15"/>
    </row>
    <row r="336" ht="38.25" spans="1:7">
      <c r="A336" s="13" t="s">
        <v>1253</v>
      </c>
      <c r="B336" s="13"/>
      <c r="C336" s="13" t="s">
        <v>1254</v>
      </c>
      <c r="D336" s="13" t="s">
        <v>1255</v>
      </c>
      <c r="E336" s="14" t="s">
        <v>1256</v>
      </c>
      <c r="F336" s="15"/>
      <c r="G336" s="15"/>
    </row>
    <row r="337" ht="38.25" spans="1:7">
      <c r="A337" s="16" t="s">
        <v>1257</v>
      </c>
      <c r="B337" s="13" t="s">
        <v>1258</v>
      </c>
      <c r="C337" s="13" t="s">
        <v>1259</v>
      </c>
      <c r="D337" s="16" t="s">
        <v>1260</v>
      </c>
      <c r="E337" s="17" t="s">
        <v>225</v>
      </c>
      <c r="F337" s="15"/>
      <c r="G337" s="15"/>
    </row>
    <row r="338" ht="51" spans="1:7">
      <c r="A338" s="13" t="s">
        <v>1261</v>
      </c>
      <c r="B338" s="13" t="s">
        <v>1262</v>
      </c>
      <c r="C338" s="13" t="s">
        <v>1263</v>
      </c>
      <c r="D338" s="13" t="s">
        <v>1264</v>
      </c>
      <c r="E338" s="14" t="s">
        <v>126</v>
      </c>
      <c r="F338" s="15"/>
      <c r="G338" s="15"/>
    </row>
    <row r="339" ht="51" spans="1:7">
      <c r="A339" s="13" t="s">
        <v>1265</v>
      </c>
      <c r="B339" s="13" t="s">
        <v>1266</v>
      </c>
      <c r="C339" s="13" t="s">
        <v>1267</v>
      </c>
      <c r="D339" s="13" t="s">
        <v>1268</v>
      </c>
      <c r="E339" s="14" t="s">
        <v>126</v>
      </c>
      <c r="F339" s="15"/>
      <c r="G339" s="15"/>
    </row>
    <row r="340" ht="51" spans="1:7">
      <c r="A340" s="13" t="s">
        <v>1269</v>
      </c>
      <c r="B340" s="13" t="s">
        <v>1270</v>
      </c>
      <c r="C340" s="13" t="s">
        <v>1271</v>
      </c>
      <c r="D340" s="13" t="s">
        <v>1272</v>
      </c>
      <c r="E340" s="14" t="s">
        <v>126</v>
      </c>
      <c r="F340" s="15"/>
      <c r="G340" s="15"/>
    </row>
    <row r="341" ht="51" spans="1:7">
      <c r="A341" s="13" t="s">
        <v>1273</v>
      </c>
      <c r="B341" s="13" t="s">
        <v>1274</v>
      </c>
      <c r="C341" s="13" t="s">
        <v>1275</v>
      </c>
      <c r="D341" s="13" t="s">
        <v>1276</v>
      </c>
      <c r="E341" s="14" t="s">
        <v>126</v>
      </c>
      <c r="F341" s="15"/>
      <c r="G341" s="15"/>
    </row>
    <row r="342" ht="51" spans="1:7">
      <c r="A342" s="13" t="s">
        <v>1277</v>
      </c>
      <c r="B342" s="13" t="s">
        <v>1278</v>
      </c>
      <c r="C342" s="13" t="s">
        <v>1279</v>
      </c>
      <c r="D342" s="13" t="s">
        <v>1280</v>
      </c>
      <c r="E342" s="14" t="s">
        <v>126</v>
      </c>
      <c r="F342" s="15"/>
      <c r="G342" s="15"/>
    </row>
    <row r="343" ht="51" spans="1:7">
      <c r="A343" s="13" t="s">
        <v>1281</v>
      </c>
      <c r="B343" s="13" t="s">
        <v>1282</v>
      </c>
      <c r="C343" s="13" t="s">
        <v>1283</v>
      </c>
      <c r="D343" s="13" t="s">
        <v>1284</v>
      </c>
      <c r="E343" s="14" t="s">
        <v>225</v>
      </c>
      <c r="F343" s="15"/>
      <c r="G343" s="15"/>
    </row>
    <row r="344" ht="51" spans="1:7">
      <c r="A344" s="16" t="s">
        <v>1285</v>
      </c>
      <c r="B344" s="13" t="s">
        <v>1286</v>
      </c>
      <c r="C344" s="13" t="s">
        <v>1287</v>
      </c>
      <c r="D344" s="16" t="s">
        <v>1288</v>
      </c>
      <c r="E344" s="17" t="s">
        <v>126</v>
      </c>
      <c r="F344" s="15"/>
      <c r="G344" s="15"/>
    </row>
    <row r="345" ht="51" spans="1:7">
      <c r="A345" s="13" t="s">
        <v>1289</v>
      </c>
      <c r="B345" s="13" t="s">
        <v>1290</v>
      </c>
      <c r="C345" s="13" t="s">
        <v>1291</v>
      </c>
      <c r="D345" s="13" t="s">
        <v>1292</v>
      </c>
      <c r="E345" s="14" t="s">
        <v>126</v>
      </c>
      <c r="F345" s="15"/>
      <c r="G345" s="15"/>
    </row>
    <row r="346" ht="51" spans="1:7">
      <c r="A346" s="13" t="s">
        <v>1293</v>
      </c>
      <c r="B346" s="13" t="s">
        <v>1294</v>
      </c>
      <c r="C346" s="13" t="s">
        <v>1295</v>
      </c>
      <c r="D346" s="13" t="s">
        <v>1296</v>
      </c>
      <c r="E346" s="14" t="s">
        <v>126</v>
      </c>
      <c r="F346" s="15"/>
      <c r="G346" s="15"/>
    </row>
    <row r="347" ht="51" spans="1:7">
      <c r="A347" s="13" t="s">
        <v>1297</v>
      </c>
      <c r="B347" s="13" t="s">
        <v>1298</v>
      </c>
      <c r="C347" s="13" t="s">
        <v>1299</v>
      </c>
      <c r="D347" s="13" t="s">
        <v>1300</v>
      </c>
      <c r="E347" s="14" t="s">
        <v>126</v>
      </c>
      <c r="F347" s="15"/>
      <c r="G347" s="15"/>
    </row>
    <row r="348" ht="51" spans="1:7">
      <c r="A348" s="13" t="s">
        <v>1301</v>
      </c>
      <c r="B348" s="13" t="s">
        <v>1302</v>
      </c>
      <c r="C348" s="13" t="s">
        <v>1303</v>
      </c>
      <c r="D348" s="13" t="s">
        <v>1304</v>
      </c>
      <c r="E348" s="14" t="s">
        <v>126</v>
      </c>
      <c r="F348" s="15"/>
      <c r="G348" s="15"/>
    </row>
    <row r="349" ht="25.5" spans="1:7">
      <c r="A349" s="13" t="s">
        <v>1305</v>
      </c>
      <c r="B349" s="13" t="s">
        <v>1306</v>
      </c>
      <c r="C349" s="13" t="s">
        <v>1307</v>
      </c>
      <c r="D349" s="13" t="s">
        <v>1308</v>
      </c>
      <c r="E349" s="14" t="s">
        <v>664</v>
      </c>
      <c r="F349" s="15"/>
      <c r="G349" s="15"/>
    </row>
    <row r="350" ht="25.5" spans="1:7">
      <c r="A350" s="13" t="s">
        <v>1309</v>
      </c>
      <c r="B350" s="13"/>
      <c r="C350" s="13" t="s">
        <v>1310</v>
      </c>
      <c r="D350" s="13" t="s">
        <v>1311</v>
      </c>
      <c r="E350" s="14" t="s">
        <v>215</v>
      </c>
      <c r="F350" s="15"/>
      <c r="G350" s="15"/>
    </row>
    <row r="351" ht="51" spans="1:7">
      <c r="A351" s="13" t="s">
        <v>1312</v>
      </c>
      <c r="B351" s="13" t="s">
        <v>1313</v>
      </c>
      <c r="C351" s="13" t="s">
        <v>1314</v>
      </c>
      <c r="D351" s="13" t="s">
        <v>1315</v>
      </c>
      <c r="E351" s="14" t="s">
        <v>126</v>
      </c>
      <c r="F351" s="15"/>
      <c r="G351" s="15"/>
    </row>
    <row r="352" ht="51" spans="1:7">
      <c r="A352" s="13" t="s">
        <v>1316</v>
      </c>
      <c r="B352" s="13" t="s">
        <v>1317</v>
      </c>
      <c r="C352" s="13" t="s">
        <v>1318</v>
      </c>
      <c r="D352" s="13" t="s">
        <v>1319</v>
      </c>
      <c r="E352" s="14" t="s">
        <v>126</v>
      </c>
      <c r="F352" s="15"/>
      <c r="G352" s="15"/>
    </row>
    <row r="353" ht="38.25" spans="1:7">
      <c r="A353" s="13" t="s">
        <v>1320</v>
      </c>
      <c r="B353" s="13" t="s">
        <v>1321</v>
      </c>
      <c r="C353" s="13" t="s">
        <v>1322</v>
      </c>
      <c r="D353" s="13" t="s">
        <v>1323</v>
      </c>
      <c r="E353" s="14" t="s">
        <v>126</v>
      </c>
      <c r="F353" s="15"/>
      <c r="G353" s="15"/>
    </row>
    <row r="354" ht="38.25" spans="1:7">
      <c r="A354" s="13" t="s">
        <v>1324</v>
      </c>
      <c r="B354" s="13" t="s">
        <v>1325</v>
      </c>
      <c r="C354" s="13" t="s">
        <v>1326</v>
      </c>
      <c r="D354" s="13" t="s">
        <v>1327</v>
      </c>
      <c r="E354" s="14" t="s">
        <v>215</v>
      </c>
      <c r="F354" s="15"/>
      <c r="G354" s="15"/>
    </row>
    <row r="355" ht="38.25" spans="1:7">
      <c r="A355" s="13" t="s">
        <v>1328</v>
      </c>
      <c r="B355" s="13" t="s">
        <v>1329</v>
      </c>
      <c r="C355" s="13" t="s">
        <v>1330</v>
      </c>
      <c r="D355" s="13" t="s">
        <v>1331</v>
      </c>
      <c r="E355" s="14" t="s">
        <v>215</v>
      </c>
      <c r="F355" s="15"/>
      <c r="G355" s="15"/>
    </row>
    <row r="356" ht="102" spans="1:7">
      <c r="A356" s="13" t="s">
        <v>1332</v>
      </c>
      <c r="B356" s="13" t="s">
        <v>1333</v>
      </c>
      <c r="C356" s="13" t="s">
        <v>1334</v>
      </c>
      <c r="D356" s="13" t="s">
        <v>1335</v>
      </c>
      <c r="E356" s="14" t="s">
        <v>664</v>
      </c>
      <c r="F356" s="15"/>
      <c r="G356" s="15"/>
    </row>
    <row r="357" ht="102" spans="1:7">
      <c r="A357" s="13" t="s">
        <v>1336</v>
      </c>
      <c r="B357" s="13" t="s">
        <v>1337</v>
      </c>
      <c r="C357" s="13" t="s">
        <v>1338</v>
      </c>
      <c r="D357" s="13" t="s">
        <v>1339</v>
      </c>
      <c r="E357" s="14" t="s">
        <v>664</v>
      </c>
      <c r="F357" s="15"/>
      <c r="G357" s="15"/>
    </row>
    <row r="358" ht="63.75" spans="1:7">
      <c r="A358" s="13" t="s">
        <v>1340</v>
      </c>
      <c r="B358" s="13" t="s">
        <v>1341</v>
      </c>
      <c r="C358" s="13" t="s">
        <v>1342</v>
      </c>
      <c r="D358" s="13" t="s">
        <v>1343</v>
      </c>
      <c r="E358" s="14" t="s">
        <v>706</v>
      </c>
      <c r="F358" s="15"/>
      <c r="G358" s="15"/>
    </row>
    <row r="359" ht="51" spans="1:7">
      <c r="A359" s="13" t="s">
        <v>1344</v>
      </c>
      <c r="B359" s="13" t="s">
        <v>1345</v>
      </c>
      <c r="C359" s="13" t="s">
        <v>1346</v>
      </c>
      <c r="D359" s="13" t="s">
        <v>1347</v>
      </c>
      <c r="E359" s="14" t="s">
        <v>215</v>
      </c>
      <c r="F359" s="15"/>
      <c r="G359" s="15"/>
    </row>
    <row r="360" ht="89.25" spans="1:7">
      <c r="A360" s="13" t="s">
        <v>1348</v>
      </c>
      <c r="B360" s="13" t="s">
        <v>1349</v>
      </c>
      <c r="C360" s="13" t="s">
        <v>1350</v>
      </c>
      <c r="D360" s="13" t="s">
        <v>1351</v>
      </c>
      <c r="E360" s="14" t="s">
        <v>215</v>
      </c>
      <c r="F360" s="15"/>
      <c r="G360" s="15"/>
    </row>
    <row r="361" ht="51" spans="1:7">
      <c r="A361" s="13" t="s">
        <v>1352</v>
      </c>
      <c r="B361" s="13" t="s">
        <v>1353</v>
      </c>
      <c r="C361" s="13" t="s">
        <v>1354</v>
      </c>
      <c r="D361" s="13" t="s">
        <v>1355</v>
      </c>
      <c r="E361" s="14" t="s">
        <v>215</v>
      </c>
      <c r="F361" s="15"/>
      <c r="G361" s="15"/>
    </row>
    <row r="362" ht="140.25" spans="1:7">
      <c r="A362" s="13" t="s">
        <v>1356</v>
      </c>
      <c r="B362" s="13" t="s">
        <v>1357</v>
      </c>
      <c r="C362" s="13" t="s">
        <v>1358</v>
      </c>
      <c r="D362" s="13" t="s">
        <v>1359</v>
      </c>
      <c r="E362" s="14" t="s">
        <v>664</v>
      </c>
      <c r="F362" s="15"/>
      <c r="G362" s="15"/>
    </row>
    <row r="363" ht="76.5" spans="1:7">
      <c r="A363" s="13" t="s">
        <v>1360</v>
      </c>
      <c r="B363" s="13" t="s">
        <v>1361</v>
      </c>
      <c r="C363" s="13" t="s">
        <v>1362</v>
      </c>
      <c r="D363" s="13" t="s">
        <v>1363</v>
      </c>
      <c r="E363" s="14" t="s">
        <v>126</v>
      </c>
      <c r="F363" s="15"/>
      <c r="G363" s="15"/>
    </row>
    <row r="364" ht="51" spans="1:7">
      <c r="A364" s="13" t="s">
        <v>1364</v>
      </c>
      <c r="B364" s="13"/>
      <c r="C364" s="13" t="s">
        <v>1365</v>
      </c>
      <c r="D364" s="13" t="s">
        <v>1366</v>
      </c>
      <c r="E364" s="14" t="s">
        <v>1256</v>
      </c>
      <c r="F364" s="15"/>
      <c r="G364" s="15"/>
    </row>
    <row r="365" ht="63.75" spans="1:7">
      <c r="A365" s="13" t="s">
        <v>1367</v>
      </c>
      <c r="B365" s="13"/>
      <c r="C365" s="13" t="s">
        <v>1368</v>
      </c>
      <c r="D365" s="13" t="s">
        <v>1369</v>
      </c>
      <c r="E365" s="14" t="s">
        <v>1256</v>
      </c>
      <c r="F365" s="15"/>
      <c r="G365" s="15"/>
    </row>
    <row r="366" spans="1:7">
      <c r="A366" s="13" t="s">
        <v>1370</v>
      </c>
      <c r="B366" s="13"/>
      <c r="C366" s="13" t="s">
        <v>1371</v>
      </c>
      <c r="D366" s="13" t="s">
        <v>1372</v>
      </c>
      <c r="E366" s="14" t="s">
        <v>151</v>
      </c>
      <c r="F366" s="15"/>
      <c r="G366" s="15"/>
    </row>
    <row r="367" ht="25.5" spans="1:7">
      <c r="A367" s="13" t="s">
        <v>1373</v>
      </c>
      <c r="B367" s="13"/>
      <c r="C367" s="13" t="s">
        <v>1374</v>
      </c>
      <c r="D367" s="13" t="s">
        <v>1375</v>
      </c>
      <c r="E367" s="14" t="s">
        <v>25</v>
      </c>
      <c r="F367" s="15"/>
      <c r="G367" s="15"/>
    </row>
    <row r="368" ht="25.5" spans="1:7">
      <c r="A368" s="13" t="s">
        <v>1376</v>
      </c>
      <c r="B368" s="13"/>
      <c r="C368" s="13" t="s">
        <v>1377</v>
      </c>
      <c r="D368" s="13" t="s">
        <v>1378</v>
      </c>
      <c r="E368" s="14" t="s">
        <v>25</v>
      </c>
      <c r="F368" s="15"/>
      <c r="G368" s="15"/>
    </row>
    <row r="369" ht="25.5" spans="1:7">
      <c r="A369" s="13" t="s">
        <v>1379</v>
      </c>
      <c r="B369" s="13"/>
      <c r="C369" s="13" t="s">
        <v>1380</v>
      </c>
      <c r="D369" s="13" t="s">
        <v>1381</v>
      </c>
      <c r="E369" s="14" t="s">
        <v>609</v>
      </c>
      <c r="F369" s="15"/>
      <c r="G369" s="15"/>
    </row>
    <row r="370" ht="25.5" spans="1:7">
      <c r="A370" s="13" t="s">
        <v>1382</v>
      </c>
      <c r="B370" s="13"/>
      <c r="C370" s="13" t="s">
        <v>1383</v>
      </c>
      <c r="D370" s="13" t="s">
        <v>1384</v>
      </c>
      <c r="E370" s="14" t="s">
        <v>135</v>
      </c>
      <c r="F370" s="15"/>
      <c r="G370" s="15"/>
    </row>
    <row r="371" ht="25.5" spans="1:7">
      <c r="A371" s="13" t="s">
        <v>1385</v>
      </c>
      <c r="B371" s="13"/>
      <c r="C371" s="13" t="s">
        <v>1386</v>
      </c>
      <c r="D371" s="13" t="s">
        <v>741</v>
      </c>
      <c r="E371" s="14" t="s">
        <v>135</v>
      </c>
      <c r="F371" s="15"/>
      <c r="G371" s="15"/>
    </row>
    <row r="372" ht="25.5" spans="1:7">
      <c r="A372" s="13" t="s">
        <v>1387</v>
      </c>
      <c r="B372" s="13"/>
      <c r="C372" s="13" t="s">
        <v>1388</v>
      </c>
      <c r="D372" s="13" t="s">
        <v>1389</v>
      </c>
      <c r="E372" s="14" t="s">
        <v>135</v>
      </c>
      <c r="F372" s="15"/>
      <c r="G372" s="15"/>
    </row>
    <row r="373" ht="51" spans="1:7">
      <c r="A373" s="13" t="s">
        <v>1390</v>
      </c>
      <c r="B373" s="13" t="s">
        <v>1391</v>
      </c>
      <c r="C373" s="13" t="s">
        <v>1392</v>
      </c>
      <c r="D373" s="13" t="s">
        <v>1393</v>
      </c>
      <c r="E373" s="14" t="s">
        <v>215</v>
      </c>
      <c r="F373" s="15"/>
      <c r="G373" s="15"/>
    </row>
    <row r="374" ht="51" spans="1:7">
      <c r="A374" s="13" t="s">
        <v>1394</v>
      </c>
      <c r="B374" s="13" t="s">
        <v>1395</v>
      </c>
      <c r="C374" s="13" t="s">
        <v>1396</v>
      </c>
      <c r="D374" s="13" t="s">
        <v>1397</v>
      </c>
      <c r="E374" s="14" t="s">
        <v>215</v>
      </c>
      <c r="F374" s="15"/>
      <c r="G374" s="15"/>
    </row>
    <row r="375" ht="51" spans="1:7">
      <c r="A375" s="13" t="s">
        <v>1398</v>
      </c>
      <c r="B375" s="13" t="s">
        <v>1399</v>
      </c>
      <c r="C375" s="13" t="s">
        <v>1400</v>
      </c>
      <c r="D375" s="13" t="s">
        <v>1401</v>
      </c>
      <c r="E375" s="14" t="s">
        <v>215</v>
      </c>
      <c r="F375" s="15"/>
      <c r="G375" s="15"/>
    </row>
    <row r="376" spans="1:7">
      <c r="A376" s="13" t="s">
        <v>1402</v>
      </c>
      <c r="B376" s="13" t="s">
        <v>1403</v>
      </c>
      <c r="C376" s="13" t="s">
        <v>1404</v>
      </c>
      <c r="D376" s="13" t="s">
        <v>1405</v>
      </c>
      <c r="E376" s="14" t="s">
        <v>135</v>
      </c>
      <c r="F376" s="15"/>
      <c r="G376" s="15"/>
    </row>
    <row r="377" ht="51" spans="1:7">
      <c r="A377" s="13" t="s">
        <v>1406</v>
      </c>
      <c r="B377" s="13" t="s">
        <v>1407</v>
      </c>
      <c r="C377" s="13" t="s">
        <v>1408</v>
      </c>
      <c r="D377" s="13" t="s">
        <v>1409</v>
      </c>
      <c r="E377" s="14" t="s">
        <v>126</v>
      </c>
      <c r="F377" s="15"/>
      <c r="G377" s="15"/>
    </row>
    <row r="378" ht="51" spans="1:7">
      <c r="A378" s="13" t="s">
        <v>1410</v>
      </c>
      <c r="B378" s="13" t="s">
        <v>1411</v>
      </c>
      <c r="C378" s="13" t="s">
        <v>1412</v>
      </c>
      <c r="D378" s="13" t="s">
        <v>1413</v>
      </c>
      <c r="E378" s="14" t="s">
        <v>126</v>
      </c>
      <c r="F378" s="15"/>
      <c r="G378" s="15"/>
    </row>
    <row r="379" ht="51" spans="1:7">
      <c r="A379" s="13" t="s">
        <v>1414</v>
      </c>
      <c r="B379" s="13" t="s">
        <v>1415</v>
      </c>
      <c r="C379" s="13" t="s">
        <v>1416</v>
      </c>
      <c r="D379" s="13" t="s">
        <v>1417</v>
      </c>
      <c r="E379" s="14" t="s">
        <v>126</v>
      </c>
      <c r="F379" s="15"/>
      <c r="G379" s="15"/>
    </row>
    <row r="380" ht="51" spans="1:7">
      <c r="A380" s="13" t="s">
        <v>1418</v>
      </c>
      <c r="B380" s="13" t="s">
        <v>1419</v>
      </c>
      <c r="C380" s="13" t="s">
        <v>1420</v>
      </c>
      <c r="D380" s="13" t="s">
        <v>1421</v>
      </c>
      <c r="E380" s="14" t="s">
        <v>126</v>
      </c>
      <c r="F380" s="15"/>
      <c r="G380" s="15"/>
    </row>
    <row r="381" ht="51" spans="1:7">
      <c r="A381" s="13" t="s">
        <v>1422</v>
      </c>
      <c r="B381" s="13" t="s">
        <v>1423</v>
      </c>
      <c r="C381" s="13" t="s">
        <v>1424</v>
      </c>
      <c r="D381" s="13" t="s">
        <v>1425</v>
      </c>
      <c r="E381" s="14" t="s">
        <v>126</v>
      </c>
      <c r="F381" s="15"/>
      <c r="G381" s="15"/>
    </row>
    <row r="382" spans="1:7">
      <c r="A382" s="13" t="s">
        <v>1426</v>
      </c>
      <c r="B382" s="13"/>
      <c r="C382" s="13" t="s">
        <v>1427</v>
      </c>
      <c r="D382" s="13" t="s">
        <v>1428</v>
      </c>
      <c r="E382" s="14" t="s">
        <v>928</v>
      </c>
      <c r="F382" s="15"/>
      <c r="G382" s="15"/>
    </row>
    <row r="383" ht="51" spans="1:7">
      <c r="A383" s="13" t="s">
        <v>1429</v>
      </c>
      <c r="B383" s="13" t="s">
        <v>1430</v>
      </c>
      <c r="C383" s="13" t="s">
        <v>1431</v>
      </c>
      <c r="D383" s="13" t="s">
        <v>1432</v>
      </c>
      <c r="E383" s="14" t="s">
        <v>126</v>
      </c>
      <c r="F383" s="15"/>
      <c r="G383" s="15"/>
    </row>
    <row r="384" ht="51" spans="1:7">
      <c r="A384" s="13" t="s">
        <v>1433</v>
      </c>
      <c r="B384" s="13" t="s">
        <v>1434</v>
      </c>
      <c r="C384" s="13" t="s">
        <v>1435</v>
      </c>
      <c r="D384" s="13" t="s">
        <v>1436</v>
      </c>
      <c r="E384" s="14" t="s">
        <v>126</v>
      </c>
      <c r="F384" s="15"/>
      <c r="G384" s="15"/>
    </row>
    <row r="385" ht="25.5" spans="1:7">
      <c r="A385" s="13" t="s">
        <v>1437</v>
      </c>
      <c r="B385" s="13" t="s">
        <v>1438</v>
      </c>
      <c r="C385" s="13" t="s">
        <v>1439</v>
      </c>
      <c r="D385" s="13" t="s">
        <v>1440</v>
      </c>
      <c r="E385" s="14" t="s">
        <v>225</v>
      </c>
      <c r="F385" s="15"/>
      <c r="G385" s="15"/>
    </row>
    <row r="386" ht="63.75" spans="1:7">
      <c r="A386" s="13" t="s">
        <v>1441</v>
      </c>
      <c r="B386" s="13" t="s">
        <v>1442</v>
      </c>
      <c r="C386" s="13" t="s">
        <v>1443</v>
      </c>
      <c r="D386" s="13" t="s">
        <v>1444</v>
      </c>
      <c r="E386" s="14" t="s">
        <v>126</v>
      </c>
      <c r="F386" s="15"/>
      <c r="G386" s="15"/>
    </row>
    <row r="387" ht="63.75" spans="1:7">
      <c r="A387" s="13" t="s">
        <v>1445</v>
      </c>
      <c r="B387" s="13" t="s">
        <v>1446</v>
      </c>
      <c r="C387" s="13" t="s">
        <v>1447</v>
      </c>
      <c r="D387" s="13" t="s">
        <v>1448</v>
      </c>
      <c r="E387" s="14" t="s">
        <v>126</v>
      </c>
      <c r="F387" s="15"/>
      <c r="G387" s="15"/>
    </row>
    <row r="388" ht="63.75" spans="1:7">
      <c r="A388" s="13" t="s">
        <v>1449</v>
      </c>
      <c r="B388" s="13" t="s">
        <v>1450</v>
      </c>
      <c r="C388" s="13" t="s">
        <v>1451</v>
      </c>
      <c r="D388" s="13" t="s">
        <v>1452</v>
      </c>
      <c r="E388" s="14" t="s">
        <v>126</v>
      </c>
      <c r="F388" s="15"/>
      <c r="G388" s="15"/>
    </row>
    <row r="389" ht="63.75" spans="1:7">
      <c r="A389" s="13" t="s">
        <v>1453</v>
      </c>
      <c r="B389" s="13" t="s">
        <v>1454</v>
      </c>
      <c r="C389" s="13" t="s">
        <v>1455</v>
      </c>
      <c r="D389" s="13" t="s">
        <v>1456</v>
      </c>
      <c r="E389" s="14" t="s">
        <v>126</v>
      </c>
      <c r="F389" s="15"/>
      <c r="G389" s="15"/>
    </row>
    <row r="390" ht="38.25" spans="1:7">
      <c r="A390" s="13" t="s">
        <v>1457</v>
      </c>
      <c r="B390" s="13" t="s">
        <v>1458</v>
      </c>
      <c r="C390" s="13" t="s">
        <v>1459</v>
      </c>
      <c r="D390" s="13" t="s">
        <v>1460</v>
      </c>
      <c r="E390" s="14" t="s">
        <v>126</v>
      </c>
      <c r="F390" s="15"/>
      <c r="G390" s="15"/>
    </row>
    <row r="391" ht="25.5" spans="1:7">
      <c r="A391" s="13" t="s">
        <v>1461</v>
      </c>
      <c r="B391" s="13"/>
      <c r="C391" s="13" t="s">
        <v>1462</v>
      </c>
      <c r="D391" s="13" t="s">
        <v>1463</v>
      </c>
      <c r="E391" s="14" t="s">
        <v>644</v>
      </c>
      <c r="F391" s="15"/>
      <c r="G391" s="15"/>
    </row>
    <row r="392" spans="1:7">
      <c r="A392" s="13" t="s">
        <v>1464</v>
      </c>
      <c r="B392" s="13" t="s">
        <v>1465</v>
      </c>
      <c r="C392" s="13" t="s">
        <v>1466</v>
      </c>
      <c r="D392" s="13" t="s">
        <v>1467</v>
      </c>
      <c r="E392" s="14" t="s">
        <v>135</v>
      </c>
      <c r="F392" s="15"/>
      <c r="G392" s="15"/>
    </row>
    <row r="393" ht="38.25" spans="1:7">
      <c r="A393" s="13" t="s">
        <v>1468</v>
      </c>
      <c r="B393" s="13" t="s">
        <v>1469</v>
      </c>
      <c r="C393" s="13" t="s">
        <v>1470</v>
      </c>
      <c r="D393" s="13" t="s">
        <v>1471</v>
      </c>
      <c r="E393" s="14" t="s">
        <v>126</v>
      </c>
      <c r="F393" s="15"/>
      <c r="G393" s="15"/>
    </row>
    <row r="394" ht="25.5" spans="1:7">
      <c r="A394" s="13" t="s">
        <v>1472</v>
      </c>
      <c r="B394" s="13" t="s">
        <v>1473</v>
      </c>
      <c r="C394" s="13" t="s">
        <v>1474</v>
      </c>
      <c r="D394" s="13" t="s">
        <v>1475</v>
      </c>
      <c r="E394" s="14" t="s">
        <v>135</v>
      </c>
      <c r="F394" s="15"/>
      <c r="G394" s="15"/>
    </row>
    <row r="395" ht="25.5" spans="1:7">
      <c r="A395" s="13" t="s">
        <v>1476</v>
      </c>
      <c r="B395" s="13" t="s">
        <v>1477</v>
      </c>
      <c r="C395" s="13" t="s">
        <v>1478</v>
      </c>
      <c r="D395" s="13" t="s">
        <v>1479</v>
      </c>
      <c r="E395" s="14" t="s">
        <v>135</v>
      </c>
      <c r="F395" s="15"/>
      <c r="G395" s="15"/>
    </row>
    <row r="396" ht="25.5" spans="1:7">
      <c r="A396" s="13" t="s">
        <v>1480</v>
      </c>
      <c r="B396" s="13" t="s">
        <v>1481</v>
      </c>
      <c r="C396" s="13" t="s">
        <v>1482</v>
      </c>
      <c r="D396" s="13" t="s">
        <v>1483</v>
      </c>
      <c r="E396" s="14" t="s">
        <v>215</v>
      </c>
      <c r="F396" s="15"/>
      <c r="G396" s="15"/>
    </row>
    <row r="397" ht="63.75" spans="1:7">
      <c r="A397" s="13" t="s">
        <v>1484</v>
      </c>
      <c r="B397" s="13" t="s">
        <v>1485</v>
      </c>
      <c r="C397" s="13" t="s">
        <v>1486</v>
      </c>
      <c r="D397" s="13" t="s">
        <v>1487</v>
      </c>
      <c r="E397" s="14" t="s">
        <v>126</v>
      </c>
      <c r="F397" s="15"/>
      <c r="G397" s="15"/>
    </row>
    <row r="398" spans="1:7">
      <c r="A398" s="13" t="s">
        <v>1488</v>
      </c>
      <c r="B398" s="13" t="s">
        <v>1489</v>
      </c>
      <c r="C398" s="13" t="s">
        <v>1490</v>
      </c>
      <c r="D398" s="13" t="s">
        <v>1491</v>
      </c>
      <c r="E398" s="14" t="s">
        <v>25</v>
      </c>
      <c r="F398" s="15"/>
      <c r="G398" s="15"/>
    </row>
    <row r="399" ht="38.25" spans="1:7">
      <c r="A399" s="13" t="s">
        <v>1492</v>
      </c>
      <c r="B399" s="13" t="s">
        <v>1493</v>
      </c>
      <c r="C399" s="13" t="s">
        <v>1494</v>
      </c>
      <c r="D399" s="13" t="s">
        <v>1495</v>
      </c>
      <c r="E399" s="14" t="s">
        <v>151</v>
      </c>
      <c r="F399" s="15"/>
      <c r="G399" s="15"/>
    </row>
    <row r="400" ht="89.25" spans="1:7">
      <c r="A400" s="16" t="s">
        <v>1496</v>
      </c>
      <c r="B400" s="13" t="s">
        <v>1497</v>
      </c>
      <c r="C400" s="13" t="s">
        <v>1498</v>
      </c>
      <c r="D400" s="16" t="s">
        <v>143</v>
      </c>
      <c r="E400" s="17" t="s">
        <v>126</v>
      </c>
      <c r="F400" s="15"/>
      <c r="G400" s="15"/>
    </row>
    <row r="401" ht="76.5" spans="1:7">
      <c r="A401" s="13" t="s">
        <v>1499</v>
      </c>
      <c r="B401" s="13" t="s">
        <v>1500</v>
      </c>
      <c r="C401" s="13" t="s">
        <v>1501</v>
      </c>
      <c r="D401" s="13" t="s">
        <v>1502</v>
      </c>
      <c r="E401" s="14" t="s">
        <v>126</v>
      </c>
      <c r="F401" s="15"/>
      <c r="G401" s="15"/>
    </row>
    <row r="402" ht="89.25" spans="1:7">
      <c r="A402" s="13" t="s">
        <v>1503</v>
      </c>
      <c r="B402" s="13" t="s">
        <v>1504</v>
      </c>
      <c r="C402" s="13" t="s">
        <v>1505</v>
      </c>
      <c r="D402" s="13" t="s">
        <v>1506</v>
      </c>
      <c r="E402" s="14" t="s">
        <v>126</v>
      </c>
      <c r="F402" s="15"/>
      <c r="G402" s="15"/>
    </row>
    <row r="403" ht="89.25" spans="1:7">
      <c r="A403" s="13" t="s">
        <v>1507</v>
      </c>
      <c r="B403" s="13" t="s">
        <v>1508</v>
      </c>
      <c r="C403" s="13" t="s">
        <v>1509</v>
      </c>
      <c r="D403" s="13" t="s">
        <v>1510</v>
      </c>
      <c r="E403" s="14" t="s">
        <v>126</v>
      </c>
      <c r="F403" s="15"/>
      <c r="G403" s="15"/>
    </row>
    <row r="404" ht="89.25" spans="1:7">
      <c r="A404" s="13" t="s">
        <v>1511</v>
      </c>
      <c r="B404" s="13" t="s">
        <v>1512</v>
      </c>
      <c r="C404" s="13" t="s">
        <v>1513</v>
      </c>
      <c r="D404" s="13" t="s">
        <v>1514</v>
      </c>
      <c r="E404" s="14" t="s">
        <v>126</v>
      </c>
      <c r="F404" s="15"/>
      <c r="G404" s="15"/>
    </row>
    <row r="405" ht="38.25" spans="1:7">
      <c r="A405" s="13" t="s">
        <v>1515</v>
      </c>
      <c r="B405" s="13" t="s">
        <v>1516</v>
      </c>
      <c r="C405" s="13" t="s">
        <v>1517</v>
      </c>
      <c r="D405" s="13" t="s">
        <v>1518</v>
      </c>
      <c r="E405" s="14" t="s">
        <v>151</v>
      </c>
      <c r="F405" s="15"/>
      <c r="G405" s="15"/>
    </row>
    <row r="406" ht="38.25" spans="1:7">
      <c r="A406" s="13" t="s">
        <v>1519</v>
      </c>
      <c r="B406" s="13" t="s">
        <v>1520</v>
      </c>
      <c r="C406" s="13" t="s">
        <v>1521</v>
      </c>
      <c r="D406" s="13" t="s">
        <v>1522</v>
      </c>
      <c r="E406" s="14" t="s">
        <v>151</v>
      </c>
      <c r="F406" s="15"/>
      <c r="G406" s="15"/>
    </row>
    <row r="407" ht="38.25" spans="1:7">
      <c r="A407" s="13" t="s">
        <v>1523</v>
      </c>
      <c r="B407" s="13" t="s">
        <v>1524</v>
      </c>
      <c r="C407" s="13" t="s">
        <v>1525</v>
      </c>
      <c r="D407" s="13" t="s">
        <v>1526</v>
      </c>
      <c r="E407" s="14" t="s">
        <v>151</v>
      </c>
      <c r="F407" s="15"/>
      <c r="G407" s="15"/>
    </row>
    <row r="408" ht="38.25" spans="1:7">
      <c r="A408" s="13" t="s">
        <v>1527</v>
      </c>
      <c r="B408" s="13" t="s">
        <v>1528</v>
      </c>
      <c r="C408" s="13" t="s">
        <v>1529</v>
      </c>
      <c r="D408" s="13" t="s">
        <v>1530</v>
      </c>
      <c r="E408" s="14" t="s">
        <v>151</v>
      </c>
      <c r="F408" s="15"/>
      <c r="G408" s="15"/>
    </row>
    <row r="409" ht="38.25" spans="1:7">
      <c r="A409" s="13" t="s">
        <v>1531</v>
      </c>
      <c r="B409" s="13" t="s">
        <v>1532</v>
      </c>
      <c r="C409" s="13" t="s">
        <v>1533</v>
      </c>
      <c r="D409" s="13" t="s">
        <v>1534</v>
      </c>
      <c r="E409" s="14" t="s">
        <v>151</v>
      </c>
      <c r="F409" s="15"/>
      <c r="G409" s="15"/>
    </row>
    <row r="410" ht="51" spans="1:7">
      <c r="A410" s="13" t="s">
        <v>1535</v>
      </c>
      <c r="B410" s="13" t="s">
        <v>1536</v>
      </c>
      <c r="C410" s="13" t="s">
        <v>1537</v>
      </c>
      <c r="D410" s="13" t="s">
        <v>1538</v>
      </c>
      <c r="E410" s="14" t="s">
        <v>25</v>
      </c>
      <c r="F410" s="15"/>
      <c r="G410" s="15"/>
    </row>
    <row r="411" spans="1:7">
      <c r="A411" s="13" t="s">
        <v>1539</v>
      </c>
      <c r="B411" s="13" t="s">
        <v>1540</v>
      </c>
      <c r="C411" s="13" t="s">
        <v>1541</v>
      </c>
      <c r="D411" s="13" t="s">
        <v>1542</v>
      </c>
      <c r="E411" s="14" t="s">
        <v>126</v>
      </c>
      <c r="F411" s="15"/>
      <c r="G411" s="15"/>
    </row>
    <row r="412" ht="25.5" spans="1:7">
      <c r="A412" s="13" t="s">
        <v>1543</v>
      </c>
      <c r="B412" s="13" t="s">
        <v>1544</v>
      </c>
      <c r="C412" s="13" t="s">
        <v>1545</v>
      </c>
      <c r="D412" s="13" t="s">
        <v>1546</v>
      </c>
      <c r="E412" s="14" t="s">
        <v>215</v>
      </c>
      <c r="F412" s="15"/>
      <c r="G412" s="15"/>
    </row>
    <row r="413" spans="1:7">
      <c r="A413" s="13" t="s">
        <v>1547</v>
      </c>
      <c r="B413" s="13" t="s">
        <v>1548</v>
      </c>
      <c r="C413" s="13" t="s">
        <v>1549</v>
      </c>
      <c r="D413" s="13" t="s">
        <v>1550</v>
      </c>
      <c r="E413" s="14" t="s">
        <v>25</v>
      </c>
      <c r="F413" s="15"/>
      <c r="G413" s="15"/>
    </row>
    <row r="414" ht="51" spans="1:7">
      <c r="A414" s="13" t="s">
        <v>1551</v>
      </c>
      <c r="B414" s="13" t="s">
        <v>1552</v>
      </c>
      <c r="C414" s="13" t="s">
        <v>1553</v>
      </c>
      <c r="D414" s="13" t="s">
        <v>1554</v>
      </c>
      <c r="E414" s="14" t="s">
        <v>648</v>
      </c>
      <c r="F414" s="15"/>
      <c r="G414" s="15"/>
    </row>
    <row r="415" ht="76.5" spans="1:7">
      <c r="A415" s="13" t="s">
        <v>1555</v>
      </c>
      <c r="B415" s="13"/>
      <c r="C415" s="13" t="s">
        <v>1556</v>
      </c>
      <c r="D415" s="13" t="s">
        <v>1557</v>
      </c>
      <c r="E415" s="14" t="s">
        <v>1558</v>
      </c>
      <c r="F415" s="15"/>
      <c r="G415" s="15"/>
    </row>
    <row r="416" spans="1:7">
      <c r="A416" s="18"/>
      <c r="B416" s="18"/>
      <c r="C416" s="18"/>
      <c r="D416" s="19" t="s">
        <v>11</v>
      </c>
      <c r="E416" s="20"/>
      <c r="F416" s="21"/>
      <c r="G416" s="21"/>
    </row>
    <row r="417" spans="1:7">
      <c r="A417" s="18"/>
      <c r="B417" s="18"/>
      <c r="C417" s="18"/>
      <c r="D417" s="19" t="s">
        <v>12</v>
      </c>
      <c r="E417" s="20"/>
      <c r="F417" s="21"/>
      <c r="G417" s="21"/>
    </row>
    <row r="418" spans="1:7">
      <c r="A418" s="18"/>
      <c r="B418" s="18"/>
      <c r="C418" s="18"/>
      <c r="D418" s="19" t="s">
        <v>13</v>
      </c>
      <c r="E418" s="20"/>
      <c r="F418" s="21"/>
      <c r="G418" s="21"/>
    </row>
    <row r="421" spans="1:7">
      <c r="G421" s="2" t="s">
        <v>1561</v>
      </c>
    </row>
  </sheetData>
  <mergeCells count="11">
    <mergeCell ref="F1:G1"/>
    <mergeCell ref="F2:G2"/>
    <mergeCell ref="F3:G3"/>
    <mergeCell ref="D416:E416"/>
    <mergeCell ref="D417:E417"/>
    <mergeCell ref="D418:E418"/>
    <mergeCell ref="A3:A4"/>
    <mergeCell ref="B3:B4"/>
    <mergeCell ref="C3:C4"/>
    <mergeCell ref="D3:D4"/>
    <mergeCell ref="E3:E4"/>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Spreadsheet WPS</Application>
  <HeadingPairs>
    <vt:vector size="2" baseType="variant">
      <vt:variant>
        <vt:lpstr>工作表</vt:lpstr>
      </vt:variant>
      <vt:variant>
        <vt:i4>4</vt:i4>
      </vt:variant>
    </vt:vector>
  </HeadingPairs>
  <TitlesOfParts>
    <vt:vector size="4" baseType="lpstr">
      <vt:lpstr>Format bakh</vt:lpstr>
      <vt:lpstr>RAB TA</vt:lpstr>
      <vt:lpstr>RAB MANDOR</vt:lpstr>
      <vt:lpstr>RAB NEGO </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nora</dc:creator>
  <cp:lastModifiedBy>dik putra</cp:lastModifiedBy>
  <dcterms:created xsi:type="dcterms:W3CDTF">2026-10-30T16:16:00Z</dcterms:created>
  <dcterms:modified xsi:type="dcterms:W3CDTF">2026-10-31T06:06:58Z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74FD1301C62E462984AC66E7E532FC38_11</vt:lpwstr>
  </property>
  <property fmtid="{D5CDD505-2E9C-101B-9397-08002B2CF9AE}" pid="3" name="KSOProductBuildVer">
    <vt:lpwstr>1033-12.1.0.29681</vt:lpwstr>
  </property>
  <property fmtid="{D5CDD505-2E9C-101B-9397-08002B2CF9AE}" pid="4" name="CalculationRule">
    <vt:i4>1</vt:i4>
  </property>
</Properties>
</file>